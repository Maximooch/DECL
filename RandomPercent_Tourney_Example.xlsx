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9a675e13c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s" sheetId="1" r:id="R4177c0ee6a054bb2"/>
    <x:sheet xmlns:r="http://schemas.openxmlformats.org/officeDocument/2006/relationships" name="Points &amp; Totals" sheetId="2" r:id="R3679e6a3bffc40d5"/>
    <x:sheet xmlns:r="http://schemas.openxmlformats.org/officeDocument/2006/relationships" name="Scoring Reference" sheetId="3" r:id="Rc66a17449de2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374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FF8D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200" fontId="0" fillId="5" borderId="14" xfId="0" applyNumberFormat="1" applyFont="1" applyFill="1" applyBorder="1"/>
    <x:xf numFmtId="200" fontId="0" fillId="5" borderId="15" xfId="0" applyNumberFormat="1" applyFont="1" applyFill="1" applyBorder="1"/>
    <x:xf numFmtId="200" fontId="0" fillId="5" borderId="16" xfId="0" applyNumberFormat="1" applyFont="1" applyFill="1" applyBorder="1"/>
    <x:xf numFmtId="200" fontId="0" fillId="5" borderId="17" xfId="0" applyNumberFormat="1" applyFont="1" applyFill="1" applyBorder="1"/>
    <x:xf numFmtId="200" fontId="0" fillId="5" borderId="0" xfId="0" applyNumberFormat="1" applyFont="1" applyFill="1" applyBorder="1"/>
    <x:xf numFmtId="200" fontId="0" fillId="5" borderId="18" xfId="0" applyNumberFormat="1" applyFont="1" applyFill="1" applyBorder="1"/>
    <x:xf numFmtId="200" fontId="0" fillId="5" borderId="19" xfId="0" applyNumberFormat="1" applyFont="1" applyFill="1" applyBorder="1"/>
    <x:xf numFmtId="200" fontId="0" fillId="5" borderId="20" xfId="0" applyNumberFormat="1" applyFont="1" applyFill="1" applyBorder="1"/>
    <x:xf numFmtId="200" fontId="0" fillId="5" borderId="21" xfId="0" applyNumberFormat="1" applyFont="1" applyFill="1" applyBorder="1"/>
    <x:xf numFmtId="200" fontId="0" fillId="5" borderId="14" xfId="0" applyNumberFormat="1" applyFont="1" applyFill="1" applyBorder="1" applyAlignment="1">
      <x:alignment horizontal="center"/>
    </x:xf>
    <x:xf numFmtId="200" fontId="0" fillId="5" borderId="15" xfId="0" applyNumberFormat="1" applyFont="1" applyFill="1" applyBorder="1" applyAlignment="1">
      <x:alignment horizontal="center"/>
    </x:xf>
    <x:xf numFmtId="200" fontId="0" fillId="5" borderId="16" xfId="0" applyNumberFormat="1" applyFont="1" applyFill="1" applyBorder="1" applyAlignment="1">
      <x:alignment horizontal="center"/>
    </x:xf>
    <x:xf numFmtId="200" fontId="0" fillId="5" borderId="17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 applyAlignment="1">
      <x:alignment horizontal="center"/>
    </x:xf>
    <x:xf numFmtId="200" fontId="0" fillId="5" borderId="18" xfId="0" applyNumberFormat="1" applyFont="1" applyFill="1" applyBorder="1" applyAlignment="1">
      <x:alignment horizontal="center"/>
    </x:xf>
    <x:xf numFmtId="200" fontId="0" fillId="5" borderId="19" xfId="0" applyNumberFormat="1" applyFont="1" applyFill="1" applyBorder="1" applyAlignment="1">
      <x:alignment horizontal="center"/>
    </x:xf>
    <x:xf numFmtId="200" fontId="0" fillId="5" borderId="20" xfId="0" applyNumberFormat="1" applyFont="1" applyFill="1" applyBorder="1" applyAlignment="1">
      <x:alignment horizontal="center"/>
    </x:xf>
    <x:xf numFmtId="200" fontId="0" fillId="5" borderId="21" xfId="0" applyNumberFormat="1" applyFont="1" applyFill="1" applyBorder="1" applyAlignment="1">
      <x:alignment horizontal="center"/>
    </x:xf>
    <x:xf numFmtId="200" fontId="0" fillId="5" borderId="14" xfId="0" applyNumberFormat="1" applyFont="1" applyFill="1" applyBorder="1" applyAlignment="1">
      <x:alignment horizontal="center" vertical="center"/>
    </x:xf>
    <x:xf numFmtId="200" fontId="0" fillId="5" borderId="15" xfId="0" applyNumberFormat="1" applyFont="1" applyFill="1" applyBorder="1" applyAlignment="1">
      <x:alignment horizontal="center" vertical="center"/>
    </x:xf>
    <x:xf numFmtId="200" fontId="0" fillId="5" borderId="16" xfId="0" applyNumberFormat="1" applyFont="1" applyFill="1" applyBorder="1" applyAlignment="1">
      <x:alignment horizontal="center" vertical="center"/>
    </x:xf>
    <x:xf numFmtId="200" fontId="0" fillId="5" borderId="17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5" borderId="18" xfId="0" applyNumberFormat="1" applyFont="1" applyFill="1" applyBorder="1" applyAlignment="1">
      <x:alignment horizontal="center" vertical="center"/>
    </x:xf>
    <x:xf numFmtId="200" fontId="0" fillId="5" borderId="19" xfId="0" applyNumberFormat="1" applyFont="1" applyFill="1" applyBorder="1" applyAlignment="1">
      <x:alignment horizontal="center" vertical="center"/>
    </x:xf>
    <x:xf numFmtId="200" fontId="0" fillId="5" borderId="20" xfId="0" applyNumberFormat="1" applyFont="1" applyFill="1" applyBorder="1" applyAlignment="1">
      <x:alignment horizontal="center" vertical="center"/>
    </x:xf>
    <x:xf numFmtId="200" fontId="0" fillId="5" borderId="2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200" fontId="0" fillId="5" borderId="22" xfId="0" applyNumberFormat="1" applyFont="1" applyFill="1" applyBorder="1"/>
    <x:xf numFmtId="200" fontId="0" fillId="5" borderId="23" xfId="0" applyNumberFormat="1" applyFont="1" applyFill="1" applyBorder="1"/>
    <x:xf numFmtId="200" fontId="0" fillId="5" borderId="24" xfId="0" applyNumberFormat="1" applyFont="1" applyFill="1" applyBorder="1"/>
    <x:xf numFmtId="200" fontId="0" fillId="5" borderId="25" xfId="0" applyNumberFormat="1" applyFont="1" applyFill="1" applyBorder="1"/>
    <x:xf numFmtId="200" fontId="0" fillId="5" borderId="1" xfId="0" applyNumberFormat="1" applyFont="1" applyFill="1" applyBorder="1"/>
    <x:xf numFmtId="200" fontId="0" fillId="5" borderId="26" xfId="0" applyNumberFormat="1" applyFont="1" applyFill="1" applyBorder="1"/>
    <x:xf numFmtId="200" fontId="0" fillId="5" borderId="27" xfId="0" applyNumberFormat="1" applyFont="1" applyFill="1" applyBorder="1"/>
    <x:xf numFmtId="200" fontId="0" fillId="5" borderId="28" xfId="0" applyNumberFormat="1" applyFont="1" applyFill="1" applyBorder="1"/>
    <x:xf numFmtId="200" fontId="0" fillId="5" borderId="29" xfId="0" applyNumberFormat="1" applyFont="1" applyFill="1" applyBorder="1"/>
    <x:xf numFmtId="200" fontId="0" fillId="5" borderId="22" xfId="0" applyNumberFormat="1" applyFont="1" applyFill="1" applyBorder="1" applyAlignment="1">
      <x:alignment horizontal="center"/>
    </x:xf>
    <x:xf numFmtId="200" fontId="0" fillId="5" borderId="23" xfId="0" applyNumberFormat="1" applyFont="1" applyFill="1" applyBorder="1" applyAlignment="1">
      <x:alignment horizontal="center"/>
    </x:xf>
    <x:xf numFmtId="200" fontId="0" fillId="5" borderId="24" xfId="0" applyNumberFormat="1" applyFont="1" applyFill="1" applyBorder="1" applyAlignment="1">
      <x:alignment horizontal="center"/>
    </x:xf>
    <x:xf numFmtId="200" fontId="0" fillId="5" borderId="25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0" fillId="5" borderId="26" xfId="0" applyNumberFormat="1" applyFont="1" applyFill="1" applyBorder="1" applyAlignment="1">
      <x:alignment horizontal="center"/>
    </x:xf>
    <x:xf numFmtId="200" fontId="0" fillId="5" borderId="27" xfId="0" applyNumberFormat="1" applyFont="1" applyFill="1" applyBorder="1" applyAlignment="1">
      <x:alignment horizontal="center"/>
    </x:xf>
    <x:xf numFmtId="200" fontId="0" fillId="5" borderId="28" xfId="0" applyNumberFormat="1" applyFont="1" applyFill="1" applyBorder="1" applyAlignment="1">
      <x:alignment horizontal="center"/>
    </x:xf>
    <x:xf numFmtId="200" fontId="0" fillId="5" borderId="29" xfId="0" applyNumberFormat="1" applyFont="1" applyFill="1" applyBorder="1" applyAlignment="1">
      <x:alignment horizontal="center"/>
    </x:xf>
    <x:xf numFmtId="200" fontId="0" fillId="5" borderId="22" xfId="0" applyNumberFormat="1" applyFont="1" applyFill="1" applyBorder="1" applyAlignment="1">
      <x:alignment horizontal="center" vertical="center"/>
    </x:xf>
    <x:xf numFmtId="200" fontId="0" fillId="5" borderId="23" xfId="0" applyNumberFormat="1" applyFont="1" applyFill="1" applyBorder="1" applyAlignment="1">
      <x:alignment horizontal="center" vertical="center"/>
    </x:xf>
    <x:xf numFmtId="200" fontId="0" fillId="5" borderId="24" xfId="0" applyNumberFormat="1" applyFont="1" applyFill="1" applyBorder="1" applyAlignment="1">
      <x:alignment horizontal="center" vertical="center"/>
    </x:xf>
    <x:xf numFmtId="200" fontId="0" fillId="5" borderId="25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5" borderId="26" xfId="0" applyNumberFormat="1" applyFont="1" applyFill="1" applyBorder="1" applyAlignment="1">
      <x:alignment horizontal="center" vertical="center"/>
    </x:xf>
    <x:xf numFmtId="200" fontId="0" fillId="5" borderId="27" xfId="0" applyNumberFormat="1" applyFont="1" applyFill="1" applyBorder="1" applyAlignment="1">
      <x:alignment horizontal="center" vertical="center"/>
    </x:xf>
    <x:xf numFmtId="200" fontId="0" fillId="5" borderId="28" xfId="0" applyNumberFormat="1" applyFont="1" applyFill="1" applyBorder="1" applyAlignment="1">
      <x:alignment horizontal="center" vertical="center"/>
    </x:xf>
    <x:xf numFmtId="200" fontId="0" fillId="5" borderId="2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200" fontId="0" fillId="6" borderId="14" xfId="0" applyNumberFormat="1" applyFont="1" applyFill="1" applyBorder="1"/>
    <x:xf numFmtId="200" fontId="0" fillId="6" borderId="15" xfId="0" applyNumberFormat="1" applyFont="1" applyFill="1" applyBorder="1"/>
    <x:xf numFmtId="200" fontId="0" fillId="6" borderId="16" xfId="0" applyNumberFormat="1" applyFont="1" applyFill="1" applyBorder="1"/>
    <x:xf numFmtId="200" fontId="0" fillId="6" borderId="17" xfId="0" applyNumberFormat="1" applyFont="1" applyFill="1" applyBorder="1"/>
    <x:xf numFmtId="200" fontId="0" fillId="6" borderId="0" xfId="0" applyNumberFormat="1" applyFont="1" applyFill="1" applyBorder="1"/>
    <x:xf numFmtId="200" fontId="0" fillId="6" borderId="18" xfId="0" applyNumberFormat="1" applyFont="1" applyFill="1" applyBorder="1"/>
    <x:xf numFmtId="200" fontId="0" fillId="6" borderId="19" xfId="0" applyNumberFormat="1" applyFont="1" applyFill="1" applyBorder="1"/>
    <x:xf numFmtId="200" fontId="0" fillId="6" borderId="20" xfId="0" applyNumberFormat="1" applyFont="1" applyFill="1" applyBorder="1"/>
    <x:xf numFmtId="200" fontId="0" fillId="6" borderId="21" xfId="0" applyNumberFormat="1" applyFont="1" applyFill="1" applyBorder="1"/>
    <x:xf numFmtId="200" fontId="0" fillId="6" borderId="14" xfId="0" applyNumberFormat="1" applyFont="1" applyFill="1" applyBorder="1" applyAlignment="1">
      <x:alignment horizontal="center"/>
    </x:xf>
    <x:xf numFmtId="200" fontId="0" fillId="6" borderId="15" xfId="0" applyNumberFormat="1" applyFont="1" applyFill="1" applyBorder="1" applyAlignment="1">
      <x:alignment horizontal="center"/>
    </x:xf>
    <x:xf numFmtId="200" fontId="0" fillId="6" borderId="16" xfId="0" applyNumberFormat="1" applyFont="1" applyFill="1" applyBorder="1" applyAlignment="1">
      <x:alignment horizontal="center"/>
    </x:xf>
    <x:xf numFmtId="200" fontId="0" fillId="6" borderId="17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0" fontId="0" fillId="6" borderId="18" xfId="0" applyNumberFormat="1" applyFont="1" applyFill="1" applyBorder="1" applyAlignment="1">
      <x:alignment horizontal="center"/>
    </x:xf>
    <x:xf numFmtId="200" fontId="0" fillId="6" borderId="19" xfId="0" applyNumberFormat="1" applyFont="1" applyFill="1" applyBorder="1" applyAlignment="1">
      <x:alignment horizontal="center"/>
    </x:xf>
    <x:xf numFmtId="200" fontId="0" fillId="6" borderId="20" xfId="0" applyNumberFormat="1" applyFont="1" applyFill="1" applyBorder="1" applyAlignment="1">
      <x:alignment horizontal="center"/>
    </x:xf>
    <x:xf numFmtId="200" fontId="0" fillId="6" borderId="2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200" fontId="0" fillId="6" borderId="22" xfId="0" applyNumberFormat="1" applyFont="1" applyFill="1" applyBorder="1"/>
    <x:xf numFmtId="200" fontId="0" fillId="6" borderId="23" xfId="0" applyNumberFormat="1" applyFont="1" applyFill="1" applyBorder="1"/>
    <x:xf numFmtId="200" fontId="0" fillId="6" borderId="24" xfId="0" applyNumberFormat="1" applyFont="1" applyFill="1" applyBorder="1"/>
    <x:xf numFmtId="200" fontId="0" fillId="6" borderId="25" xfId="0" applyNumberFormat="1" applyFont="1" applyFill="1" applyBorder="1"/>
    <x:xf numFmtId="200" fontId="0" fillId="6" borderId="1" xfId="0" applyNumberFormat="1" applyFont="1" applyFill="1" applyBorder="1"/>
    <x:xf numFmtId="200" fontId="0" fillId="6" borderId="26" xfId="0" applyNumberFormat="1" applyFont="1" applyFill="1" applyBorder="1"/>
    <x:xf numFmtId="200" fontId="0" fillId="6" borderId="27" xfId="0" applyNumberFormat="1" applyFont="1" applyFill="1" applyBorder="1"/>
    <x:xf numFmtId="200" fontId="0" fillId="6" borderId="28" xfId="0" applyNumberFormat="1" applyFont="1" applyFill="1" applyBorder="1"/>
    <x:xf numFmtId="200" fontId="0" fillId="6" borderId="29" xfId="0" applyNumberFormat="1" applyFont="1" applyFill="1" applyBorder="1"/>
    <x:xf numFmtId="200" fontId="0" fillId="6" borderId="22" xfId="0" applyNumberFormat="1" applyFont="1" applyFill="1" applyBorder="1" applyAlignment="1">
      <x:alignment horizontal="center"/>
    </x:xf>
    <x:xf numFmtId="200" fontId="0" fillId="6" borderId="23" xfId="0" applyNumberFormat="1" applyFont="1" applyFill="1" applyBorder="1" applyAlignment="1">
      <x:alignment horizontal="center"/>
    </x:xf>
    <x:xf numFmtId="200" fontId="0" fillId="6" borderId="24" xfId="0" applyNumberFormat="1" applyFont="1" applyFill="1" applyBorder="1" applyAlignment="1">
      <x:alignment horizontal="center"/>
    </x:xf>
    <x:xf numFmtId="200" fontId="0" fillId="6" borderId="25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0" fontId="0" fillId="6" borderId="26" xfId="0" applyNumberFormat="1" applyFont="1" applyFill="1" applyBorder="1" applyAlignment="1">
      <x:alignment horizontal="center"/>
    </x:xf>
    <x:xf numFmtId="200" fontId="0" fillId="6" borderId="27" xfId="0" applyNumberFormat="1" applyFont="1" applyFill="1" applyBorder="1" applyAlignment="1">
      <x:alignment horizontal="center"/>
    </x:xf>
    <x:xf numFmtId="200" fontId="0" fillId="6" borderId="28" xfId="0" applyNumberFormat="1" applyFont="1" applyFill="1" applyBorder="1" applyAlignment="1">
      <x:alignment horizontal="center"/>
    </x:xf>
    <x:xf numFmtId="200" fontId="0" fillId="6" borderId="2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200" fontId="4" fillId="7" borderId="14" xfId="0" applyNumberFormat="1" applyFont="1" applyFill="1" applyBorder="1"/>
    <x:xf numFmtId="200" fontId="4" fillId="7" borderId="15" xfId="0" applyNumberFormat="1" applyFont="1" applyFill="1" applyBorder="1"/>
    <x:xf numFmtId="200" fontId="4" fillId="7" borderId="16" xfId="0" applyNumberFormat="1" applyFont="1" applyFill="1" applyBorder="1"/>
    <x:xf numFmtId="200" fontId="4" fillId="7" borderId="17" xfId="0" applyNumberFormat="1" applyFont="1" applyFill="1" applyBorder="1"/>
    <x:xf numFmtId="200" fontId="4" fillId="7" borderId="0" xfId="0" applyNumberFormat="1" applyFont="1" applyFill="1" applyBorder="1"/>
    <x:xf numFmtId="200" fontId="4" fillId="7" borderId="18" xfId="0" applyNumberFormat="1" applyFont="1" applyFill="1" applyBorder="1"/>
    <x:xf numFmtId="200" fontId="4" fillId="7" borderId="19" xfId="0" applyNumberFormat="1" applyFont="1" applyFill="1" applyBorder="1"/>
    <x:xf numFmtId="200" fontId="4" fillId="7" borderId="20" xfId="0" applyNumberFormat="1" applyFont="1" applyFill="1" applyBorder="1"/>
    <x:xf numFmtId="200" fontId="4" fillId="7" borderId="21" xfId="0" applyNumberFormat="1" applyFont="1" applyFill="1" applyBorder="1"/>
    <x:xf numFmtId="200" fontId="4" fillId="7" borderId="14" xfId="0" applyNumberFormat="1" applyFont="1" applyFill="1" applyBorder="1" applyAlignment="1">
      <x:alignment horizontal="center"/>
    </x:xf>
    <x:xf numFmtId="200" fontId="4" fillId="7" borderId="15" xfId="0" applyNumberFormat="1" applyFont="1" applyFill="1" applyBorder="1" applyAlignment="1">
      <x:alignment horizontal="center"/>
    </x:xf>
    <x:xf numFmtId="200" fontId="4" fillId="7" borderId="16" xfId="0" applyNumberFormat="1" applyFont="1" applyFill="1" applyBorder="1" applyAlignment="1">
      <x:alignment horizontal="center"/>
    </x:xf>
    <x:xf numFmtId="200" fontId="4" fillId="7" borderId="17" xfId="0" applyNumberFormat="1" applyFont="1" applyFill="1" applyBorder="1" applyAlignment="1">
      <x:alignment horizontal="center"/>
    </x:xf>
    <x:xf numFmtId="200" fontId="4" fillId="7" borderId="0" xfId="0" applyNumberFormat="1" applyFont="1" applyFill="1" applyBorder="1" applyAlignment="1">
      <x:alignment horizontal="center"/>
    </x:xf>
    <x:xf numFmtId="200" fontId="4" fillId="7" borderId="18" xfId="0" applyNumberFormat="1" applyFont="1" applyFill="1" applyBorder="1" applyAlignment="1">
      <x:alignment horizontal="center"/>
    </x:xf>
    <x:xf numFmtId="200" fontId="4" fillId="7" borderId="19" xfId="0" applyNumberFormat="1" applyFont="1" applyFill="1" applyBorder="1" applyAlignment="1">
      <x:alignment horizontal="center"/>
    </x:xf>
    <x:xf numFmtId="200" fontId="4" fillId="7" borderId="20" xfId="0" applyNumberFormat="1" applyFont="1" applyFill="1" applyBorder="1" applyAlignment="1">
      <x:alignment horizontal="center"/>
    </x:xf>
    <x:xf numFmtId="200" fontId="4" fillId="7" borderId="2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200" fontId="4" fillId="7" borderId="22" xfId="0" applyNumberFormat="1" applyFont="1" applyFill="1" applyBorder="1"/>
    <x:xf numFmtId="200" fontId="4" fillId="7" borderId="23" xfId="0" applyNumberFormat="1" applyFont="1" applyFill="1" applyBorder="1"/>
    <x:xf numFmtId="200" fontId="4" fillId="7" borderId="24" xfId="0" applyNumberFormat="1" applyFont="1" applyFill="1" applyBorder="1"/>
    <x:xf numFmtId="200" fontId="4" fillId="7" borderId="25" xfId="0" applyNumberFormat="1" applyFont="1" applyFill="1" applyBorder="1"/>
    <x:xf numFmtId="200" fontId="4" fillId="7" borderId="1" xfId="0" applyNumberFormat="1" applyFont="1" applyFill="1" applyBorder="1"/>
    <x:xf numFmtId="200" fontId="4" fillId="7" borderId="26" xfId="0" applyNumberFormat="1" applyFont="1" applyFill="1" applyBorder="1"/>
    <x:xf numFmtId="200" fontId="4" fillId="7" borderId="27" xfId="0" applyNumberFormat="1" applyFont="1" applyFill="1" applyBorder="1"/>
    <x:xf numFmtId="200" fontId="4" fillId="7" borderId="28" xfId="0" applyNumberFormat="1" applyFont="1" applyFill="1" applyBorder="1"/>
    <x:xf numFmtId="200" fontId="4" fillId="7" borderId="29" xfId="0" applyNumberFormat="1" applyFont="1" applyFill="1" applyBorder="1"/>
    <x:xf numFmtId="200" fontId="4" fillId="7" borderId="22" xfId="0" applyNumberFormat="1" applyFont="1" applyFill="1" applyBorder="1" applyAlignment="1">
      <x:alignment horizontal="center"/>
    </x:xf>
    <x:xf numFmtId="200" fontId="4" fillId="7" borderId="23" xfId="0" applyNumberFormat="1" applyFont="1" applyFill="1" applyBorder="1" applyAlignment="1">
      <x:alignment horizontal="center"/>
    </x:xf>
    <x:xf numFmtId="200" fontId="4" fillId="7" borderId="24" xfId="0" applyNumberFormat="1" applyFont="1" applyFill="1" applyBorder="1" applyAlignment="1">
      <x:alignment horizontal="center"/>
    </x:xf>
    <x:xf numFmtId="200" fontId="4" fillId="7" borderId="25" xfId="0" applyNumberFormat="1" applyFont="1" applyFill="1" applyBorder="1" applyAlignment="1">
      <x:alignment horizontal="center"/>
    </x:xf>
    <x:xf numFmtId="200" fontId="4" fillId="7" borderId="1" xfId="0" applyNumberFormat="1" applyFont="1" applyFill="1" applyBorder="1" applyAlignment="1">
      <x:alignment horizontal="center"/>
    </x:xf>
    <x:xf numFmtId="200" fontId="4" fillId="7" borderId="26" xfId="0" applyNumberFormat="1" applyFont="1" applyFill="1" applyBorder="1" applyAlignment="1">
      <x:alignment horizontal="center"/>
    </x:xf>
    <x:xf numFmtId="200" fontId="4" fillId="7" borderId="27" xfId="0" applyNumberFormat="1" applyFont="1" applyFill="1" applyBorder="1" applyAlignment="1">
      <x:alignment horizontal="center"/>
    </x:xf>
    <x:xf numFmtId="200" fontId="4" fillId="7" borderId="28" xfId="0" applyNumberFormat="1" applyFont="1" applyFill="1" applyBorder="1" applyAlignment="1">
      <x:alignment horizontal="center"/>
    </x:xf>
    <x:xf numFmtId="200" fontId="4" fillId="7" borderId="29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9" xfId="0" applyNumberFormat="1" applyFont="1" applyFill="1" applyBorder="1" applyAlignment="1">
      <x:alignment wrapText="1"/>
    </x:xf>
    <x:xf numFmtId="0" fontId="0" fillId="8" borderId="20" xfId="0" applyNumberFormat="1" applyFont="1" applyFill="1" applyBorder="1" applyAlignment="1">
      <x:alignment wrapText="1"/>
    </x:xf>
    <x:xf numFmtId="0" fontId="0" fillId="8" borderId="2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ont>
        <x:b/>
      </x:font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39625fe23458d" /><Relationship Type="http://schemas.openxmlformats.org/officeDocument/2006/relationships/theme" Target="/xl/theme/theme1.xml" Id="Rcec48c93557944aa" /><Relationship Type="http://schemas.openxmlformats.org/officeDocument/2006/relationships/sharedStrings" Target="/xl/sharedStrings.xml" Id="R2d411db2af9e4792" /><Relationship Type="http://schemas.openxmlformats.org/officeDocument/2006/relationships/worksheet" Target="/xl/worksheets/sheet1.xml" Id="R4177c0ee6a054bb2" /><Relationship Type="http://schemas.openxmlformats.org/officeDocument/2006/relationships/worksheet" Target="/xl/worksheets/sheet2.xml" Id="R3679e6a3bffc40d5" /><Relationship Type="http://schemas.openxmlformats.org/officeDocument/2006/relationships/worksheet" Target="/xl/worksheets/sheet3.xml" Id="Rc66a17449de2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8" customHeight="1">
      <x:c r="A1" s="5" t="str">
        <x:v>Random% Tournament - Placement Entry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13" t="str">
        <x:v>Enter a player's finishing position for each map (1, 2, 3, ...). Leave the cell blank for DNF/no credited finish; blank cells earn 0 points.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 ht="46" customHeight="1">
      <x:c r="A4" s="28" t="str">
        <x:v>Player</x:v>
      </x:c>
      <x:c r="B4" s="29" t="str">
        <x:v>Skylands</x:v>
      </x:c>
      <x:c r="C4" s="29" t="str">
        <x:v>Steve's Swamp</x:v>
      </x:c>
      <x:c r="D4" s="29" t="str">
        <x:v>Through Hell</x:v>
      </x:c>
      <x:c r="E4" s="29" t="str">
        <x:v>Terracola Gorge</x:v>
      </x:c>
      <x:c r="F4" s="29" t="str">
        <x:v>Pirate Bay</x:v>
      </x:c>
      <x:c r="G4" s="29" t="str">
        <x:v>Kamakoa Blossom</x:v>
      </x:c>
      <x:c r="H4" s="29" t="str">
        <x:v>Frost Run</x:v>
      </x:c>
      <x:c r="I4" s="29" t="str">
        <x:v>Poseidon's Realm</x:v>
      </x:c>
      <x:c r="J4" s="29" t="str">
        <x:v>Into the Jungle</x:v>
      </x:c>
      <x:c r="K4" s="29" t="str">
        <x:v>Maple Treeway</x:v>
      </x:c>
      <x:c r="L4" s="29" t="str">
        <x:v>Ancient Clash</x:v>
      </x:c>
      <x:c r="M4" s="29" t="str">
        <x:v>Dark Magic Woods</x:v>
      </x:c>
      <x:c r="N4" s="29" t="str">
        <x:v>Lotus Crescent</x:v>
      </x:c>
      <x:c r="O4" s="29" t="str">
        <x:v>A Builder's Bedroom</x:v>
      </x:c>
      <x:c r="P4" s="29" t="str">
        <x:v>Sandstorm</x:v>
      </x:c>
      <x:c r="Q4" s="29" t="str">
        <x:v>Acropolis</x:v>
      </x:c>
      <x:c r="R4" s="29" t="str">
        <x:v>Fungi Galore</x:v>
      </x:c>
      <x:c r="S4" s="29" t="str">
        <x:v>Birch Falls</x:v>
      </x:c>
      <x:c r="T4" s="30" t="str">
        <x:v>Time Travel</x:v>
      </x:c>
    </x:row>
    <x:row r="5">
      <x:c r="A5" s="49" t="str">
        <x:v>Supermoar</x:v>
      </x:c>
      <x:c r="B5" s="87" t="n">
        <x:v>1</x:v>
      </x:c>
      <x:c r="C5" s="88" t="n">
        <x:v>8</x:v>
      </x:c>
      <x:c r="D5" s="88" t="n">
        <x:v>3</x:v>
      </x:c>
      <x:c r="E5" s="88" t="n">
        <x:v>9</x:v>
      </x:c>
      <x:c r="F5" s="88" t="n">
        <x:v>6</x:v>
      </x:c>
      <x:c r="G5" s="88" t="n">
        <x:v>3</x:v>
      </x:c>
      <x:c r="H5" s="88" t="n">
        <x:v>1</x:v>
      </x:c>
      <x:c r="I5" s="88"/>
      <x:c r="J5" s="88" t="n">
        <x:v>6</x:v>
      </x:c>
      <x:c r="K5" s="88" t="n">
        <x:v>2</x:v>
      </x:c>
      <x:c r="L5" s="88" t="n">
        <x:v>2</x:v>
      </x:c>
      <x:c r="M5" s="88" t="n">
        <x:v>11</x:v>
      </x:c>
      <x:c r="N5" s="88"/>
      <x:c r="O5" s="88" t="n">
        <x:v>3</x:v>
      </x:c>
      <x:c r="P5" s="88" t="n">
        <x:v>2</x:v>
      </x:c>
      <x:c r="Q5" s="88" t="n">
        <x:v>1</x:v>
      </x:c>
      <x:c r="R5" s="88" t="n">
        <x:v>8</x:v>
      </x:c>
      <x:c r="S5" s="88" t="n">
        <x:v>4</x:v>
      </x:c>
      <x:c r="T5" s="89" t="n">
        <x:v>2</x:v>
      </x:c>
    </x:row>
    <x:row r="6">
      <x:c r="A6" s="50" t="str">
        <x:v>Quickstep</x:v>
      </x:c>
      <x:c r="B6" s="90" t="n">
        <x:v>8</x:v>
      </x:c>
      <x:c r="C6" s="91" t="n">
        <x:v>4</x:v>
      </x:c>
      <x:c r="D6" s="91" t="n">
        <x:v>7</x:v>
      </x:c>
      <x:c r="E6" s="91" t="n">
        <x:v>5</x:v>
      </x:c>
      <x:c r="F6" s="91" t="n">
        <x:v>11</x:v>
      </x:c>
      <x:c r="G6" s="91"/>
      <x:c r="H6" s="91" t="n">
        <x:v>8</x:v>
      </x:c>
      <x:c r="I6" s="91" t="n">
        <x:v>6</x:v>
      </x:c>
      <x:c r="J6" s="91"/>
      <x:c r="K6" s="91"/>
      <x:c r="L6" s="91" t="n">
        <x:v>5</x:v>
      </x:c>
      <x:c r="M6" s="91" t="n">
        <x:v>6</x:v>
      </x:c>
      <x:c r="N6" s="91" t="n">
        <x:v>4</x:v>
      </x:c>
      <x:c r="O6" s="91" t="n">
        <x:v>9</x:v>
      </x:c>
      <x:c r="P6" s="91" t="n">
        <x:v>10</x:v>
      </x:c>
      <x:c r="Q6" s="91" t="n">
        <x:v>6</x:v>
      </x:c>
      <x:c r="R6" s="91" t="n">
        <x:v>4</x:v>
      </x:c>
      <x:c r="S6" s="91"/>
      <x:c r="T6" s="92" t="n">
        <x:v>4</x:v>
      </x:c>
    </x:row>
    <x:row r="7">
      <x:c r="A7" s="50" t="str">
        <x:v>BlockBender</x:v>
      </x:c>
      <x:c r="B7" s="90" t="n">
        <x:v>6</x:v>
      </x:c>
      <x:c r="C7" s="91" t="n">
        <x:v>1</x:v>
      </x:c>
      <x:c r="D7" s="91"/>
      <x:c r="E7" s="91" t="n">
        <x:v>6</x:v>
      </x:c>
      <x:c r="F7" s="91" t="n">
        <x:v>10</x:v>
      </x:c>
      <x:c r="G7" s="91" t="n">
        <x:v>5</x:v>
      </x:c>
      <x:c r="H7" s="91" t="n">
        <x:v>5</x:v>
      </x:c>
      <x:c r="I7" s="91" t="n">
        <x:v>8</x:v>
      </x:c>
      <x:c r="J7" s="91" t="n">
        <x:v>4</x:v>
      </x:c>
      <x:c r="K7" s="91" t="n">
        <x:v>3</x:v>
      </x:c>
      <x:c r="L7" s="91"/>
      <x:c r="M7" s="91" t="n">
        <x:v>2</x:v>
      </x:c>
      <x:c r="N7" s="91" t="n">
        <x:v>3</x:v>
      </x:c>
      <x:c r="O7" s="91" t="n">
        <x:v>6</x:v>
      </x:c>
      <x:c r="P7" s="91" t="n">
        <x:v>6</x:v>
      </x:c>
      <x:c r="Q7" s="91"/>
      <x:c r="R7" s="91" t="n">
        <x:v>5</x:v>
      </x:c>
      <x:c r="S7" s="91" t="n">
        <x:v>3</x:v>
      </x:c>
      <x:c r="T7" s="92"/>
    </x:row>
    <x:row r="8">
      <x:c r="A8" s="50" t="str">
        <x:v>WarpWarden</x:v>
      </x:c>
      <x:c r="B8" s="90" t="n">
        <x:v>4</x:v>
      </x:c>
      <x:c r="C8" s="91" t="n">
        <x:v>6</x:v>
      </x:c>
      <x:c r="D8" s="91" t="n">
        <x:v>10</x:v>
      </x:c>
      <x:c r="E8" s="91" t="n">
        <x:v>2</x:v>
      </x:c>
      <x:c r="F8" s="91" t="n">
        <x:v>5</x:v>
      </x:c>
      <x:c r="G8" s="91" t="n">
        <x:v>1</x:v>
      </x:c>
      <x:c r="H8" s="91" t="n">
        <x:v>2</x:v>
      </x:c>
      <x:c r="I8" s="91" t="n">
        <x:v>7</x:v>
      </x:c>
      <x:c r="J8" s="91" t="n">
        <x:v>8</x:v>
      </x:c>
      <x:c r="K8" s="91"/>
      <x:c r="L8" s="91"/>
      <x:c r="M8" s="91" t="n">
        <x:v>3</x:v>
      </x:c>
      <x:c r="N8" s="91"/>
      <x:c r="O8" s="91" t="n">
        <x:v>8</x:v>
      </x:c>
      <x:c r="P8" s="91" t="n">
        <x:v>7</x:v>
      </x:c>
      <x:c r="Q8" s="91"/>
      <x:c r="R8" s="91" t="n">
        <x:v>7</x:v>
      </x:c>
      <x:c r="S8" s="91" t="n">
        <x:v>6</x:v>
      </x:c>
      <x:c r="T8" s="92" t="n">
        <x:v>6</x:v>
      </x:c>
    </x:row>
    <x:row r="9">
      <x:c r="A9" s="50" t="str">
        <x:v>LeapFrog</x:v>
      </x:c>
      <x:c r="B9" s="90" t="n">
        <x:v>10</x:v>
      </x:c>
      <x:c r="C9" s="91" t="n">
        <x:v>9</x:v>
      </x:c>
      <x:c r="D9" s="91" t="n">
        <x:v>8</x:v>
      </x:c>
      <x:c r="E9" s="91"/>
      <x:c r="F9" s="91" t="n">
        <x:v>4</x:v>
      </x:c>
      <x:c r="G9" s="91" t="n">
        <x:v>10</x:v>
      </x:c>
      <x:c r="H9" s="91" t="n">
        <x:v>9</x:v>
      </x:c>
      <x:c r="I9" s="91" t="n">
        <x:v>9</x:v>
      </x:c>
      <x:c r="J9" s="91" t="n">
        <x:v>1</x:v>
      </x:c>
      <x:c r="K9" s="91" t="n">
        <x:v>7</x:v>
      </x:c>
      <x:c r="L9" s="91" t="n">
        <x:v>3</x:v>
      </x:c>
      <x:c r="M9" s="91" t="n">
        <x:v>5</x:v>
      </x:c>
      <x:c r="N9" s="91" t="n">
        <x:v>8</x:v>
      </x:c>
      <x:c r="O9" s="91"/>
      <x:c r="P9" s="91"/>
      <x:c r="Q9" s="91" t="n">
        <x:v>4</x:v>
      </x:c>
      <x:c r="R9" s="91" t="n">
        <x:v>6</x:v>
      </x:c>
      <x:c r="S9" s="91"/>
      <x:c r="T9" s="92" t="n">
        <x:v>5</x:v>
      </x:c>
    </x:row>
    <x:row r="10">
      <x:c r="A10" s="50" t="str">
        <x:v>FrostByte</x:v>
      </x:c>
      <x:c r="B10" s="90" t="n">
        <x:v>2</x:v>
      </x:c>
      <x:c r="C10" s="91" t="n">
        <x:v>2</x:v>
      </x:c>
      <x:c r="D10" s="91" t="n">
        <x:v>4</x:v>
      </x:c>
      <x:c r="E10" s="91" t="n">
        <x:v>7</x:v>
      </x:c>
      <x:c r="F10" s="91" t="n">
        <x:v>7</x:v>
      </x:c>
      <x:c r="G10" s="91"/>
      <x:c r="H10" s="91" t="n">
        <x:v>10</x:v>
      </x:c>
      <x:c r="I10" s="91" t="n">
        <x:v>1</x:v>
      </x:c>
      <x:c r="J10" s="91" t="n">
        <x:v>5</x:v>
      </x:c>
      <x:c r="K10" s="91" t="n">
        <x:v>5</x:v>
      </x:c>
      <x:c r="L10" s="91" t="n">
        <x:v>7</x:v>
      </x:c>
      <x:c r="M10" s="91" t="n">
        <x:v>10</x:v>
      </x:c>
      <x:c r="N10" s="91" t="n">
        <x:v>2</x:v>
      </x:c>
      <x:c r="O10" s="91" t="n">
        <x:v>2</x:v>
      </x:c>
      <x:c r="P10" s="91" t="n">
        <x:v>9</x:v>
      </x:c>
      <x:c r="Q10" s="91" t="n">
        <x:v>3</x:v>
      </x:c>
      <x:c r="R10" s="91" t="n">
        <x:v>1</x:v>
      </x:c>
      <x:c r="S10" s="91"/>
      <x:c r="T10" s="92"/>
    </x:row>
    <x:row r="11">
      <x:c r="A11" s="50" t="str">
        <x:v>SwampRunner</x:v>
      </x:c>
      <x:c r="B11" s="90" t="n">
        <x:v>12</x:v>
      </x:c>
      <x:c r="C11" s="91" t="n">
        <x:v>5</x:v>
      </x:c>
      <x:c r="D11" s="91" t="n">
        <x:v>1</x:v>
      </x:c>
      <x:c r="E11" s="91" t="n">
        <x:v>4</x:v>
      </x:c>
      <x:c r="F11" s="91" t="n">
        <x:v>1</x:v>
      </x:c>
      <x:c r="G11" s="91" t="n">
        <x:v>7</x:v>
      </x:c>
      <x:c r="H11" s="91"/>
      <x:c r="I11" s="91" t="n">
        <x:v>3</x:v>
      </x:c>
      <x:c r="J11" s="91" t="n">
        <x:v>7</x:v>
      </x:c>
      <x:c r="K11" s="91" t="n">
        <x:v>6</x:v>
      </x:c>
      <x:c r="L11" s="91"/>
      <x:c r="M11" s="91" t="n">
        <x:v>9</x:v>
      </x:c>
      <x:c r="N11" s="91" t="n">
        <x:v>1</x:v>
      </x:c>
      <x:c r="O11" s="91" t="n">
        <x:v>1</x:v>
      </x:c>
      <x:c r="P11" s="91" t="n">
        <x:v>1</x:v>
      </x:c>
      <x:c r="Q11" s="91" t="n">
        <x:v>2</x:v>
      </x:c>
      <x:c r="R11" s="91" t="n">
        <x:v>3</x:v>
      </x:c>
      <x:c r="S11" s="91" t="n">
        <x:v>1</x:v>
      </x:c>
      <x:c r="T11" s="92" t="n">
        <x:v>8</x:v>
      </x:c>
    </x:row>
    <x:row r="12">
      <x:c r="A12" s="50" t="str">
        <x:v>Lotus</x:v>
      </x:c>
      <x:c r="B12" s="90" t="n">
        <x:v>9</x:v>
      </x:c>
      <x:c r="C12" s="91"/>
      <x:c r="D12" s="91" t="n">
        <x:v>5</x:v>
      </x:c>
      <x:c r="E12" s="91"/>
      <x:c r="F12" s="91" t="n">
        <x:v>12</x:v>
      </x:c>
      <x:c r="G12" s="91" t="n">
        <x:v>6</x:v>
      </x:c>
      <x:c r="H12" s="91" t="n">
        <x:v>6</x:v>
      </x:c>
      <x:c r="I12" s="91" t="n">
        <x:v>4</x:v>
      </x:c>
      <x:c r="J12" s="91" t="n">
        <x:v>3</x:v>
      </x:c>
      <x:c r="K12" s="91" t="n">
        <x:v>8</x:v>
      </x:c>
      <x:c r="L12" s="91" t="n">
        <x:v>8</x:v>
      </x:c>
      <x:c r="M12" s="91" t="n">
        <x:v>8</x:v>
      </x:c>
      <x:c r="N12" s="91" t="n">
        <x:v>6</x:v>
      </x:c>
      <x:c r="O12" s="91" t="n">
        <x:v>4</x:v>
      </x:c>
      <x:c r="P12" s="91" t="n">
        <x:v>3</x:v>
      </x:c>
      <x:c r="Q12" s="91" t="n">
        <x:v>7</x:v>
      </x:c>
      <x:c r="R12" s="91" t="n">
        <x:v>10</x:v>
      </x:c>
      <x:c r="S12" s="91" t="n">
        <x:v>5</x:v>
      </x:c>
      <x:c r="T12" s="92" t="n">
        <x:v>1</x:v>
      </x:c>
    </x:row>
    <x:row r="13">
      <x:c r="A13" s="50" t="str">
        <x:v>PirateKing</x:v>
      </x:c>
      <x:c r="B13" s="90" t="n">
        <x:v>3</x:v>
      </x:c>
      <x:c r="C13" s="91" t="n">
        <x:v>3</x:v>
      </x:c>
      <x:c r="D13" s="91" t="n">
        <x:v>6</x:v>
      </x:c>
      <x:c r="E13" s="91" t="n">
        <x:v>10</x:v>
      </x:c>
      <x:c r="F13" s="91" t="n">
        <x:v>3</x:v>
      </x:c>
      <x:c r="G13" s="91" t="n">
        <x:v>8</x:v>
      </x:c>
      <x:c r="H13" s="91" t="n">
        <x:v>3</x:v>
      </x:c>
      <x:c r="I13" s="91" t="n">
        <x:v>11</x:v>
      </x:c>
      <x:c r="J13" s="91"/>
      <x:c r="K13" s="91" t="n">
        <x:v>4</x:v>
      </x:c>
      <x:c r="L13" s="91" t="n">
        <x:v>6</x:v>
      </x:c>
      <x:c r="M13" s="91" t="n">
        <x:v>1</x:v>
      </x:c>
      <x:c r="N13" s="91"/>
      <x:c r="O13" s="91"/>
      <x:c r="P13" s="91" t="n">
        <x:v>8</x:v>
      </x:c>
      <x:c r="Q13" s="91" t="n">
        <x:v>8</x:v>
      </x:c>
      <x:c r="R13" s="91" t="n">
        <x:v>11</x:v>
      </x:c>
      <x:c r="S13" s="91" t="n">
        <x:v>2</x:v>
      </x:c>
      <x:c r="T13" s="92" t="n">
        <x:v>7</x:v>
      </x:c>
    </x:row>
    <x:row r="14">
      <x:c r="A14" s="50" t="str">
        <x:v>DiggerDan</x:v>
      </x:c>
      <x:c r="B14" s="90" t="n">
        <x:v>7</x:v>
      </x:c>
      <x:c r="C14" s="91"/>
      <x:c r="D14" s="91" t="n">
        <x:v>9</x:v>
      </x:c>
      <x:c r="E14" s="91" t="n">
        <x:v>1</x:v>
      </x:c>
      <x:c r="F14" s="91" t="n">
        <x:v>2</x:v>
      </x:c>
      <x:c r="G14" s="91" t="n">
        <x:v>4</x:v>
      </x:c>
      <x:c r="H14" s="91" t="n">
        <x:v>4</x:v>
      </x:c>
      <x:c r="I14" s="91" t="n">
        <x:v>10</x:v>
      </x:c>
      <x:c r="J14" s="91"/>
      <x:c r="K14" s="91" t="n">
        <x:v>1</x:v>
      </x:c>
      <x:c r="L14" s="91"/>
      <x:c r="M14" s="91" t="n">
        <x:v>4</x:v>
      </x:c>
      <x:c r="N14" s="91" t="n">
        <x:v>5</x:v>
      </x:c>
      <x:c r="O14" s="91" t="n">
        <x:v>5</x:v>
      </x:c>
      <x:c r="P14" s="91"/>
      <x:c r="Q14" s="91"/>
      <x:c r="R14" s="91" t="n">
        <x:v>2</x:v>
      </x:c>
      <x:c r="S14" s="91" t="n">
        <x:v>8</x:v>
      </x:c>
      <x:c r="T14" s="92"/>
    </x:row>
    <x:row r="15">
      <x:c r="A15" s="50" t="str">
        <x:v>AcroAce</x:v>
      </x:c>
      <x:c r="B15" s="90" t="n">
        <x:v>11</x:v>
      </x:c>
      <x:c r="C15" s="91"/>
      <x:c r="D15" s="91" t="n">
        <x:v>2</x:v>
      </x:c>
      <x:c r="E15" s="91" t="n">
        <x:v>8</x:v>
      </x:c>
      <x:c r="F15" s="91" t="n">
        <x:v>8</x:v>
      </x:c>
      <x:c r="G15" s="91" t="n">
        <x:v>9</x:v>
      </x:c>
      <x:c r="H15" s="91" t="n">
        <x:v>11</x:v>
      </x:c>
      <x:c r="I15" s="91" t="n">
        <x:v>2</x:v>
      </x:c>
      <x:c r="J15" s="91" t="n">
        <x:v>2</x:v>
      </x:c>
      <x:c r="K15" s="91"/>
      <x:c r="L15" s="91" t="n">
        <x:v>4</x:v>
      </x:c>
      <x:c r="M15" s="91"/>
      <x:c r="N15" s="91" t="n">
        <x:v>7</x:v>
      </x:c>
      <x:c r="O15" s="91"/>
      <x:c r="P15" s="91" t="n">
        <x:v>4</x:v>
      </x:c>
      <x:c r="Q15" s="91" t="n">
        <x:v>5</x:v>
      </x:c>
      <x:c r="R15" s="91"/>
      <x:c r="S15" s="91" t="n">
        <x:v>7</x:v>
      </x:c>
      <x:c r="T15" s="92"/>
    </x:row>
    <x:row r="16">
      <x:c r="A16" s="50" t="str">
        <x:v>TimeTraveler</x:v>
      </x:c>
      <x:c r="B16" s="90" t="n">
        <x:v>5</x:v>
      </x:c>
      <x:c r="C16" s="91" t="n">
        <x:v>7</x:v>
      </x:c>
      <x:c r="D16" s="91"/>
      <x:c r="E16" s="91" t="n">
        <x:v>3</x:v>
      </x:c>
      <x:c r="F16" s="91" t="n">
        <x:v>9</x:v>
      </x:c>
      <x:c r="G16" s="91" t="n">
        <x:v>2</x:v>
      </x:c>
      <x:c r="H16" s="91" t="n">
        <x:v>7</x:v>
      </x:c>
      <x:c r="I16" s="91" t="n">
        <x:v>5</x:v>
      </x:c>
      <x:c r="J16" s="91" t="n">
        <x:v>9</x:v>
      </x:c>
      <x:c r="K16" s="91"/>
      <x:c r="L16" s="91" t="n">
        <x:v>1</x:v>
      </x:c>
      <x:c r="M16" s="91" t="n">
        <x:v>7</x:v>
      </x:c>
      <x:c r="N16" s="91"/>
      <x:c r="O16" s="91" t="n">
        <x:v>7</x:v>
      </x:c>
      <x:c r="P16" s="91" t="n">
        <x:v>5</x:v>
      </x:c>
      <x:c r="Q16" s="91"/>
      <x:c r="R16" s="91" t="n">
        <x:v>9</x:v>
      </x:c>
      <x:c r="S16" s="91"/>
      <x:c r="T16" s="92" t="n">
        <x:v>3</x:v>
      </x:c>
    </x:row>
    <x:row r="17">
      <x:c r="A17" s="50"/>
      <x:c r="B17" s="90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2"/>
    </x:row>
    <x:row r="18">
      <x:c r="A18" s="50"/>
      <x:c r="B18" s="90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2"/>
    </x:row>
    <x:row r="19">
      <x:c r="A19" s="50"/>
      <x:c r="B19" s="90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2"/>
    </x:row>
    <x:row r="20">
      <x:c r="A20" s="50"/>
      <x:c r="B20" s="90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2"/>
    </x:row>
    <x:row r="21">
      <x:c r="A21" s="50"/>
      <x:c r="B21" s="90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2"/>
    </x:row>
    <x:row r="22">
      <x:c r="A22" s="50"/>
      <x:c r="B22" s="90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2"/>
    </x:row>
    <x:row r="23">
      <x:c r="A23" s="50"/>
      <x:c r="B23" s="90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2"/>
    </x:row>
    <x:row r="24">
      <x:c r="A24" s="50"/>
      <x:c r="B24" s="90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2"/>
    </x:row>
    <x:row r="25">
      <x:c r="A25" s="50"/>
      <x:c r="B25" s="90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2"/>
    </x:row>
    <x:row r="26">
      <x:c r="A26" s="50"/>
      <x:c r="B26" s="90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2"/>
    </x:row>
    <x:row r="27">
      <x:c r="A27" s="50"/>
      <x:c r="B27" s="90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2"/>
    </x:row>
    <x:row r="28">
      <x:c r="A28" s="50"/>
      <x:c r="B28" s="90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2"/>
    </x:row>
    <x:row r="29">
      <x:c r="A29" s="50"/>
      <x:c r="B29" s="90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2"/>
    </x:row>
    <x:row r="30">
      <x:c r="A30" s="50"/>
      <x:c r="B30" s="90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2"/>
    </x:row>
    <x:row r="31">
      <x:c r="A31" s="50"/>
      <x:c r="B31" s="90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2"/>
    </x:row>
    <x:row r="32">
      <x:c r="A32" s="50"/>
      <x:c r="B32" s="90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2"/>
    </x:row>
    <x:row r="33">
      <x:c r="A33" s="50"/>
      <x:c r="B33" s="90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2"/>
    </x:row>
    <x:row r="34">
      <x:c r="A34" s="50"/>
      <x:c r="B34" s="90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2"/>
    </x:row>
    <x:row r="35">
      <x:c r="A35" s="50"/>
      <x:c r="B35" s="90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2"/>
    </x:row>
    <x:row r="36">
      <x:c r="A36" s="51"/>
      <x:c r="B36" s="93"/>
      <x:c r="C36" s="94"/>
      <x:c r="D36" s="94"/>
      <x:c r="E36" s="94"/>
      <x:c r="F36" s="94"/>
      <x:c r="G36" s="94"/>
      <x:c r="H36" s="94"/>
      <x:c r="I36" s="94"/>
      <x:c r="J36" s="94"/>
      <x:c r="K36" s="94"/>
      <x:c r="L36" s="94"/>
      <x:c r="M36" s="94"/>
      <x:c r="N36" s="94"/>
      <x:c r="O36" s="94"/>
      <x:c r="P36" s="94"/>
      <x:c r="Q36" s="94"/>
      <x:c r="R36" s="94"/>
      <x:c r="S36" s="94"/>
      <x:c r="T36" s="95"/>
    </x:row>
  </x:sheetData>
  <x:mergeCells>
    <x:mergeCell ref="A1:T1"/>
    <x:mergeCell ref="A2:T2"/>
  </x:mergeCells>
  <x:conditionalFormatting sqref="B5:T36">
    <x:cfRule type="cellIs" dxfId="0" priority="1">
      <x:formula>1</x:formula>
    </x:cfRule>
    <x:cfRule type="cellIs" dxfId="1" priority="2">
      <x:formula>2</x:formula>
    </x:cfRule>
    <x:cfRule type="cellIs" dxfId="2" priority="3">
      <x:formula>3</x:formula>
    </x:cfRule>
  </x:conditionalFormatting>
  <x:dataValidations count="1">
    <x:dataValidation operator="between" sqref="B5:T36">
      <x:formula1>1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28" customHeight="1">
      <x:c r="A1" s="5" t="str">
        <x:v>Random% Tournament - Automatic Points &amp; Totals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4" customHeight="1">
      <x:c r="A2" s="13" t="str">
        <x:v>This sheet converts placements to points automatically. Placements 9 and higher receive 30 points; blank placement cells receive no points.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46" customHeight="1">
      <x:c r="A4" s="28" t="str">
        <x:v>Player</x:v>
      </x:c>
      <x:c r="B4" s="29" t="str">
        <x:v>Skylands</x:v>
      </x:c>
      <x:c r="C4" s="29" t="str">
        <x:v>Steve's Swamp</x:v>
      </x:c>
      <x:c r="D4" s="29" t="str">
        <x:v>Through Hell</x:v>
      </x:c>
      <x:c r="E4" s="29" t="str">
        <x:v>Terracola Gorge</x:v>
      </x:c>
      <x:c r="F4" s="29" t="str">
        <x:v>Pirate Bay</x:v>
      </x:c>
      <x:c r="G4" s="29" t="str">
        <x:v>Kamakoa Blossom</x:v>
      </x:c>
      <x:c r="H4" s="29" t="str">
        <x:v>Frost Run</x:v>
      </x:c>
      <x:c r="I4" s="29" t="str">
        <x:v>Poseidon's Realm</x:v>
      </x:c>
      <x:c r="J4" s="29" t="str">
        <x:v>Into the Jungle</x:v>
      </x:c>
      <x:c r="K4" s="29" t="str">
        <x:v>Maple Treeway</x:v>
      </x:c>
      <x:c r="L4" s="29" t="str">
        <x:v>Ancient Clash</x:v>
      </x:c>
      <x:c r="M4" s="29" t="str">
        <x:v>Dark Magic Woods</x:v>
      </x:c>
      <x:c r="N4" s="29" t="str">
        <x:v>Lotus Crescent</x:v>
      </x:c>
      <x:c r="O4" s="29" t="str">
        <x:v>A Builder's Bedroom</x:v>
      </x:c>
      <x:c r="P4" s="29" t="str">
        <x:v>Sandstorm</x:v>
      </x:c>
      <x:c r="Q4" s="29" t="str">
        <x:v>Acropolis</x:v>
      </x:c>
      <x:c r="R4" s="29" t="str">
        <x:v>Fungi Galore</x:v>
      </x:c>
      <x:c r="S4" s="29" t="str">
        <x:v>Birch Falls</x:v>
      </x:c>
      <x:c r="T4" s="29" t="str">
        <x:v>Time Travel</x:v>
      </x:c>
      <x:c r="U4" s="29" t="str">
        <x:v>Total Points</x:v>
      </x:c>
      <x:c r="V4" s="29" t="str">
        <x:v>Overall Rank</x:v>
      </x:c>
      <x:c r="W4" s="30" t="str">
        <x:v>Rounds Finished</x:v>
      </x:c>
    </x:row>
    <x:row r="5">
      <x:c r="A5" s="46" t="str">
        <x:f>IF('Placements'!A5="","",'Placements'!A5)</x:f>
        <x:v>Supermoar</x:v>
      </x:c>
      <x:c r="B5" s="150" t="n">
        <x:f>IF('Placements'!B5="","",IFERROR(VLOOKUP(MIN('Placements'!B5,9),'Scoring Reference'!$A$3:$B$11,2,FALSE),0))</x:f>
        <x:v>100</x:v>
      </x:c>
      <x:c r="C5" s="151" t="n">
        <x:f>IF('Placements'!C5="","",IFERROR(VLOOKUP(MIN('Placements'!C5,9),'Scoring Reference'!$A$3:$B$11,2,FALSE),0))</x:f>
        <x:v>35</x:v>
      </x:c>
      <x:c r="D5" s="151" t="n">
        <x:f>IF('Placements'!D5="","",IFERROR(VLOOKUP(MIN('Placements'!D5,9),'Scoring Reference'!$A$3:$B$11,2,FALSE),0))</x:f>
        <x:v>75</x:v>
      </x:c>
      <x:c r="E5" s="151" t="n">
        <x:f>IF('Placements'!E5="","",IFERROR(VLOOKUP(MIN('Placements'!E5,9),'Scoring Reference'!$A$3:$B$11,2,FALSE),0))</x:f>
        <x:v>30</x:v>
      </x:c>
      <x:c r="F5" s="151" t="n">
        <x:f>IF('Placements'!F5="","",IFERROR(VLOOKUP(MIN('Placements'!F5,9),'Scoring Reference'!$A$3:$B$11,2,FALSE),0))</x:f>
        <x:v>45</x:v>
      </x:c>
      <x:c r="G5" s="151" t="n">
        <x:f>IF('Placements'!G5="","",IFERROR(VLOOKUP(MIN('Placements'!G5,9),'Scoring Reference'!$A$3:$B$11,2,FALSE),0))</x:f>
        <x:v>75</x:v>
      </x:c>
      <x:c r="H5" s="151" t="n">
        <x:f>IF('Placements'!H5="","",IFERROR(VLOOKUP(MIN('Placements'!H5,9),'Scoring Reference'!$A$3:$B$11,2,FALSE),0))</x:f>
        <x:v>100</x:v>
      </x:c>
      <x:c r="I5" s="151" t="str">
        <x:f>IF('Placements'!I5="","",IFERROR(VLOOKUP(MIN('Placements'!I5,9),'Scoring Reference'!$A$3:$B$11,2,FALSE),0))</x:f>
      </x:c>
      <x:c r="J5" s="151" t="n">
        <x:f>IF('Placements'!J5="","",IFERROR(VLOOKUP(MIN('Placements'!J5,9),'Scoring Reference'!$A$3:$B$11,2,FALSE),0))</x:f>
        <x:v>45</x:v>
      </x:c>
      <x:c r="K5" s="151" t="n">
        <x:f>IF('Placements'!K5="","",IFERROR(VLOOKUP(MIN('Placements'!K5,9),'Scoring Reference'!$A$3:$B$11,2,FALSE),0))</x:f>
        <x:v>85</x:v>
      </x:c>
      <x:c r="L5" s="151" t="n">
        <x:f>IF('Placements'!L5="","",IFERROR(VLOOKUP(MIN('Placements'!L5,9),'Scoring Reference'!$A$3:$B$11,2,FALSE),0))</x:f>
        <x:v>85</x:v>
      </x:c>
      <x:c r="M5" s="151" t="n">
        <x:f>IF('Placements'!M5="","",IFERROR(VLOOKUP(MIN('Placements'!M5,9),'Scoring Reference'!$A$3:$B$11,2,FALSE),0))</x:f>
        <x:v>30</x:v>
      </x:c>
      <x:c r="N5" s="151" t="str">
        <x:f>IF('Placements'!N5="","",IFERROR(VLOOKUP(MIN('Placements'!N5,9),'Scoring Reference'!$A$3:$B$11,2,FALSE),0))</x:f>
      </x:c>
      <x:c r="O5" s="151" t="n">
        <x:f>IF('Placements'!O5="","",IFERROR(VLOOKUP(MIN('Placements'!O5,9),'Scoring Reference'!$A$3:$B$11,2,FALSE),0))</x:f>
        <x:v>75</x:v>
      </x:c>
      <x:c r="P5" s="151" t="n">
        <x:f>IF('Placements'!P5="","",IFERROR(VLOOKUP(MIN('Placements'!P5,9),'Scoring Reference'!$A$3:$B$11,2,FALSE),0))</x:f>
        <x:v>85</x:v>
      </x:c>
      <x:c r="Q5" s="151" t="n">
        <x:f>IF('Placements'!Q5="","",IFERROR(VLOOKUP(MIN('Placements'!Q5,9),'Scoring Reference'!$A$3:$B$11,2,FALSE),0))</x:f>
        <x:v>100</x:v>
      </x:c>
      <x:c r="R5" s="151" t="n">
        <x:f>IF('Placements'!R5="","",IFERROR(VLOOKUP(MIN('Placements'!R5,9),'Scoring Reference'!$A$3:$B$11,2,FALSE),0))</x:f>
        <x:v>35</x:v>
      </x:c>
      <x:c r="S5" s="151" t="n">
        <x:f>IF('Placements'!S5="","",IFERROR(VLOOKUP(MIN('Placements'!S5,9),'Scoring Reference'!$A$3:$B$11,2,FALSE),0))</x:f>
        <x:v>60</x:v>
      </x:c>
      <x:c r="T5" s="152" t="n">
        <x:f>IF('Placements'!T5="","",IFERROR(VLOOKUP(MIN('Placements'!T5,9),'Scoring Reference'!$A$3:$B$11,2,FALSE),0))</x:f>
        <x:v>85</x:v>
      </x:c>
      <x:c r="U5" s="205" t="n">
        <x:f>IF(A5="","",SUM(B5:T5))</x:f>
        <x:v>1145</x:v>
      </x:c>
      <x:c r="V5" s="206" t="n">
        <x:f>IF(A5="","",1+IF($U$5&gt;U5,1,0)+IF($U$6&gt;U5,1,0)+IF($U$7&gt;U5,1,0)+IF($U$8&gt;U5,1,0)+IF($U$9&gt;U5,1,0)+IF($U$10&gt;U5,1,0)+IF($U$11&gt;U5,1,0)+IF($U$12&gt;U5,1,0)+IF($U$13&gt;U5,1,0)+IF($U$14&gt;U5,1,0)+IF($U$15&gt;U5,1,0)+IF($U$16&gt;U5,1,0)+IF($U$17&gt;U5,1,0)+IF($U$18&gt;U5,1,0)+IF($U$19&gt;U5,1,0)+IF($U$20&gt;U5,1,0)+IF($U$21&gt;U5,1,0)+IF($U$22&gt;U5,1,0)+IF($U$23&gt;U5,1,0)+IF($U$24&gt;U5,1,0)+IF($U$25&gt;U5,1,0)+IF($U$26&gt;U5,1,0)+IF($U$27&gt;U5,1,0)+IF($U$28&gt;U5,1,0)+IF($U$29&gt;U5,1,0)+IF($U$30&gt;U5,1,0)+IF($U$31&gt;U5,1,0)+IF($U$32&gt;U5,1,0)+IF($U$33&gt;U5,1,0)+IF($U$34&gt;U5,1,0)+IF($U$35&gt;U5,1,0)+IF($U$36&gt;U5,1,0))</x:f>
        <x:v>2</x:v>
      </x:c>
      <x:c r="W5" s="207" t="n">
        <x:f>IF(A5="","",COUNT(B5:T5))</x:f>
        <x:v>17</x:v>
      </x:c>
    </x:row>
    <x:row r="6">
      <x:c r="A6" s="47" t="str">
        <x:f>IF('Placements'!A6="","",'Placements'!A6)</x:f>
        <x:v>Quickstep</x:v>
      </x:c>
      <x:c r="B6" s="153" t="n">
        <x:f>IF('Placements'!B6="","",IFERROR(VLOOKUP(MIN('Placements'!B6,9),'Scoring Reference'!$A$3:$B$11,2,FALSE),0))</x:f>
        <x:v>35</x:v>
      </x:c>
      <x:c r="C6" s="154" t="n">
        <x:f>IF('Placements'!C6="","",IFERROR(VLOOKUP(MIN('Placements'!C6,9),'Scoring Reference'!$A$3:$B$11,2,FALSE),0))</x:f>
        <x:v>60</x:v>
      </x:c>
      <x:c r="D6" s="154" t="n">
        <x:f>IF('Placements'!D6="","",IFERROR(VLOOKUP(MIN('Placements'!D6,9),'Scoring Reference'!$A$3:$B$11,2,FALSE),0))</x:f>
        <x:v>40</x:v>
      </x:c>
      <x:c r="E6" s="154" t="n">
        <x:f>IF('Placements'!E6="","",IFERROR(VLOOKUP(MIN('Placements'!E6,9),'Scoring Reference'!$A$3:$B$11,2,FALSE),0))</x:f>
        <x:v>50</x:v>
      </x:c>
      <x:c r="F6" s="154" t="n">
        <x:f>IF('Placements'!F6="","",IFERROR(VLOOKUP(MIN('Placements'!F6,9),'Scoring Reference'!$A$3:$B$11,2,FALSE),0))</x:f>
        <x:v>30</x:v>
      </x:c>
      <x:c r="G6" s="154" t="str">
        <x:f>IF('Placements'!G6="","",IFERROR(VLOOKUP(MIN('Placements'!G6,9),'Scoring Reference'!$A$3:$B$11,2,FALSE),0))</x:f>
      </x:c>
      <x:c r="H6" s="154" t="n">
        <x:f>IF('Placements'!H6="","",IFERROR(VLOOKUP(MIN('Placements'!H6,9),'Scoring Reference'!$A$3:$B$11,2,FALSE),0))</x:f>
        <x:v>35</x:v>
      </x:c>
      <x:c r="I6" s="154" t="n">
        <x:f>IF('Placements'!I6="","",IFERROR(VLOOKUP(MIN('Placements'!I6,9),'Scoring Reference'!$A$3:$B$11,2,FALSE),0))</x:f>
        <x:v>45</x:v>
      </x:c>
      <x:c r="J6" s="154" t="str">
        <x:f>IF('Placements'!J6="","",IFERROR(VLOOKUP(MIN('Placements'!J6,9),'Scoring Reference'!$A$3:$B$11,2,FALSE),0))</x:f>
      </x:c>
      <x:c r="K6" s="154" t="str">
        <x:f>IF('Placements'!K6="","",IFERROR(VLOOKUP(MIN('Placements'!K6,9),'Scoring Reference'!$A$3:$B$11,2,FALSE),0))</x:f>
      </x:c>
      <x:c r="L6" s="154" t="n">
        <x:f>IF('Placements'!L6="","",IFERROR(VLOOKUP(MIN('Placements'!L6,9),'Scoring Reference'!$A$3:$B$11,2,FALSE),0))</x:f>
        <x:v>50</x:v>
      </x:c>
      <x:c r="M6" s="154" t="n">
        <x:f>IF('Placements'!M6="","",IFERROR(VLOOKUP(MIN('Placements'!M6,9),'Scoring Reference'!$A$3:$B$11,2,FALSE),0))</x:f>
        <x:v>45</x:v>
      </x:c>
      <x:c r="N6" s="154" t="n">
        <x:f>IF('Placements'!N6="","",IFERROR(VLOOKUP(MIN('Placements'!N6,9),'Scoring Reference'!$A$3:$B$11,2,FALSE),0))</x:f>
        <x:v>60</x:v>
      </x:c>
      <x:c r="O6" s="154" t="n">
        <x:f>IF('Placements'!O6="","",IFERROR(VLOOKUP(MIN('Placements'!O6,9),'Scoring Reference'!$A$3:$B$11,2,FALSE),0))</x:f>
        <x:v>30</x:v>
      </x:c>
      <x:c r="P6" s="154" t="n">
        <x:f>IF('Placements'!P6="","",IFERROR(VLOOKUP(MIN('Placements'!P6,9),'Scoring Reference'!$A$3:$B$11,2,FALSE),0))</x:f>
        <x:v>30</x:v>
      </x:c>
      <x:c r="Q6" s="154" t="n">
        <x:f>IF('Placements'!Q6="","",IFERROR(VLOOKUP(MIN('Placements'!Q6,9),'Scoring Reference'!$A$3:$B$11,2,FALSE),0))</x:f>
        <x:v>45</x:v>
      </x:c>
      <x:c r="R6" s="154" t="n">
        <x:f>IF('Placements'!R6="","",IFERROR(VLOOKUP(MIN('Placements'!R6,9),'Scoring Reference'!$A$3:$B$11,2,FALSE),0))</x:f>
        <x:v>60</x:v>
      </x:c>
      <x:c r="S6" s="154" t="str">
        <x:f>IF('Placements'!S6="","",IFERROR(VLOOKUP(MIN('Placements'!S6,9),'Scoring Reference'!$A$3:$B$11,2,FALSE),0))</x:f>
      </x:c>
      <x:c r="T6" s="155" t="n">
        <x:f>IF('Placements'!T6="","",IFERROR(VLOOKUP(MIN('Placements'!T6,9),'Scoring Reference'!$A$3:$B$11,2,FALSE),0))</x:f>
        <x:v>60</x:v>
      </x:c>
      <x:c r="U6" s="208" t="n">
        <x:f>IF(A6="","",SUM(B6:T6))</x:f>
        <x:v>675</x:v>
      </x:c>
      <x:c r="V6" s="209" t="n">
        <x:f>IF(A6="","",1+IF($U$5&gt;U6,1,0)+IF($U$6&gt;U6,1,0)+IF($U$7&gt;U6,1,0)+IF($U$8&gt;U6,1,0)+IF($U$9&gt;U6,1,0)+IF($U$10&gt;U6,1,0)+IF($U$11&gt;U6,1,0)+IF($U$12&gt;U6,1,0)+IF($U$13&gt;U6,1,0)+IF($U$14&gt;U6,1,0)+IF($U$15&gt;U6,1,0)+IF($U$16&gt;U6,1,0)+IF($U$17&gt;U6,1,0)+IF($U$18&gt;U6,1,0)+IF($U$19&gt;U6,1,0)+IF($U$20&gt;U6,1,0)+IF($U$21&gt;U6,1,0)+IF($U$22&gt;U6,1,0)+IF($U$23&gt;U6,1,0)+IF($U$24&gt;U6,1,0)+IF($U$25&gt;U6,1,0)+IF($U$26&gt;U6,1,0)+IF($U$27&gt;U6,1,0)+IF($U$28&gt;U6,1,0)+IF($U$29&gt;U6,1,0)+IF($U$30&gt;U6,1,0)+IF($U$31&gt;U6,1,0)+IF($U$32&gt;U6,1,0)+IF($U$33&gt;U6,1,0)+IF($U$34&gt;U6,1,0)+IF($U$35&gt;U6,1,0)+IF($U$36&gt;U6,1,0))</x:f>
        <x:v>11</x:v>
      </x:c>
      <x:c r="W6" s="210" t="n">
        <x:f>IF(A6="","",COUNT(B6:T6))</x:f>
        <x:v>15</x:v>
      </x:c>
    </x:row>
    <x:row r="7">
      <x:c r="A7" s="47" t="str">
        <x:f>IF('Placements'!A7="","",'Placements'!A7)</x:f>
        <x:v>BlockBender</x:v>
      </x:c>
      <x:c r="B7" s="153" t="n">
        <x:f>IF('Placements'!B7="","",IFERROR(VLOOKUP(MIN('Placements'!B7,9),'Scoring Reference'!$A$3:$B$11,2,FALSE),0))</x:f>
        <x:v>45</x:v>
      </x:c>
      <x:c r="C7" s="154" t="n">
        <x:f>IF('Placements'!C7="","",IFERROR(VLOOKUP(MIN('Placements'!C7,9),'Scoring Reference'!$A$3:$B$11,2,FALSE),0))</x:f>
        <x:v>100</x:v>
      </x:c>
      <x:c r="D7" s="154" t="str">
        <x:f>IF('Placements'!D7="","",IFERROR(VLOOKUP(MIN('Placements'!D7,9),'Scoring Reference'!$A$3:$B$11,2,FALSE),0))</x:f>
      </x:c>
      <x:c r="E7" s="154" t="n">
        <x:f>IF('Placements'!E7="","",IFERROR(VLOOKUP(MIN('Placements'!E7,9),'Scoring Reference'!$A$3:$B$11,2,FALSE),0))</x:f>
        <x:v>45</x:v>
      </x:c>
      <x:c r="F7" s="154" t="n">
        <x:f>IF('Placements'!F7="","",IFERROR(VLOOKUP(MIN('Placements'!F7,9),'Scoring Reference'!$A$3:$B$11,2,FALSE),0))</x:f>
        <x:v>30</x:v>
      </x:c>
      <x:c r="G7" s="154" t="n">
        <x:f>IF('Placements'!G7="","",IFERROR(VLOOKUP(MIN('Placements'!G7,9),'Scoring Reference'!$A$3:$B$11,2,FALSE),0))</x:f>
        <x:v>50</x:v>
      </x:c>
      <x:c r="H7" s="154" t="n">
        <x:f>IF('Placements'!H7="","",IFERROR(VLOOKUP(MIN('Placements'!H7,9),'Scoring Reference'!$A$3:$B$11,2,FALSE),0))</x:f>
        <x:v>50</x:v>
      </x:c>
      <x:c r="I7" s="154" t="n">
        <x:f>IF('Placements'!I7="","",IFERROR(VLOOKUP(MIN('Placements'!I7,9),'Scoring Reference'!$A$3:$B$11,2,FALSE),0))</x:f>
        <x:v>35</x:v>
      </x:c>
      <x:c r="J7" s="154" t="n">
        <x:f>IF('Placements'!J7="","",IFERROR(VLOOKUP(MIN('Placements'!J7,9),'Scoring Reference'!$A$3:$B$11,2,FALSE),0))</x:f>
        <x:v>60</x:v>
      </x:c>
      <x:c r="K7" s="154" t="n">
        <x:f>IF('Placements'!K7="","",IFERROR(VLOOKUP(MIN('Placements'!K7,9),'Scoring Reference'!$A$3:$B$11,2,FALSE),0))</x:f>
        <x:v>75</x:v>
      </x:c>
      <x:c r="L7" s="154" t="str">
        <x:f>IF('Placements'!L7="","",IFERROR(VLOOKUP(MIN('Placements'!L7,9),'Scoring Reference'!$A$3:$B$11,2,FALSE),0))</x:f>
      </x:c>
      <x:c r="M7" s="154" t="n">
        <x:f>IF('Placements'!M7="","",IFERROR(VLOOKUP(MIN('Placements'!M7,9),'Scoring Reference'!$A$3:$B$11,2,FALSE),0))</x:f>
        <x:v>85</x:v>
      </x:c>
      <x:c r="N7" s="154" t="n">
        <x:f>IF('Placements'!N7="","",IFERROR(VLOOKUP(MIN('Placements'!N7,9),'Scoring Reference'!$A$3:$B$11,2,FALSE),0))</x:f>
        <x:v>75</x:v>
      </x:c>
      <x:c r="O7" s="154" t="n">
        <x:f>IF('Placements'!O7="","",IFERROR(VLOOKUP(MIN('Placements'!O7,9),'Scoring Reference'!$A$3:$B$11,2,FALSE),0))</x:f>
        <x:v>45</x:v>
      </x:c>
      <x:c r="P7" s="154" t="n">
        <x:f>IF('Placements'!P7="","",IFERROR(VLOOKUP(MIN('Placements'!P7,9),'Scoring Reference'!$A$3:$B$11,2,FALSE),0))</x:f>
        <x:v>45</x:v>
      </x:c>
      <x:c r="Q7" s="154" t="str">
        <x:f>IF('Placements'!Q7="","",IFERROR(VLOOKUP(MIN('Placements'!Q7,9),'Scoring Reference'!$A$3:$B$11,2,FALSE),0))</x:f>
      </x:c>
      <x:c r="R7" s="154" t="n">
        <x:f>IF('Placements'!R7="","",IFERROR(VLOOKUP(MIN('Placements'!R7,9),'Scoring Reference'!$A$3:$B$11,2,FALSE),0))</x:f>
        <x:v>50</x:v>
      </x:c>
      <x:c r="S7" s="154" t="n">
        <x:f>IF('Placements'!S7="","",IFERROR(VLOOKUP(MIN('Placements'!S7,9),'Scoring Reference'!$A$3:$B$11,2,FALSE),0))</x:f>
        <x:v>75</x:v>
      </x:c>
      <x:c r="T7" s="155" t="str">
        <x:f>IF('Placements'!T7="","",IFERROR(VLOOKUP(MIN('Placements'!T7,9),'Scoring Reference'!$A$3:$B$11,2,FALSE),0))</x:f>
      </x:c>
      <x:c r="U7" s="208" t="n">
        <x:f>IF(A7="","",SUM(B7:T7))</x:f>
        <x:v>865</x:v>
      </x:c>
      <x:c r="V7" s="209" t="n">
        <x:f>IF(A7="","",1+IF($U$5&gt;U7,1,0)+IF($U$6&gt;U7,1,0)+IF($U$7&gt;U7,1,0)+IF($U$8&gt;U7,1,0)+IF($U$9&gt;U7,1,0)+IF($U$10&gt;U7,1,0)+IF($U$11&gt;U7,1,0)+IF($U$12&gt;U7,1,0)+IF($U$13&gt;U7,1,0)+IF($U$14&gt;U7,1,0)+IF($U$15&gt;U7,1,0)+IF($U$16&gt;U7,1,0)+IF($U$17&gt;U7,1,0)+IF($U$18&gt;U7,1,0)+IF($U$19&gt;U7,1,0)+IF($U$20&gt;U7,1,0)+IF($U$21&gt;U7,1,0)+IF($U$22&gt;U7,1,0)+IF($U$23&gt;U7,1,0)+IF($U$24&gt;U7,1,0)+IF($U$25&gt;U7,1,0)+IF($U$26&gt;U7,1,0)+IF($U$27&gt;U7,1,0)+IF($U$28&gt;U7,1,0)+IF($U$29&gt;U7,1,0)+IF($U$30&gt;U7,1,0)+IF($U$31&gt;U7,1,0)+IF($U$32&gt;U7,1,0)+IF($U$33&gt;U7,1,0)+IF($U$34&gt;U7,1,0)+IF($U$35&gt;U7,1,0)+IF($U$36&gt;U7,1,0))</x:f>
        <x:v>5</x:v>
      </x:c>
      <x:c r="W7" s="210" t="n">
        <x:f>IF(A7="","",COUNT(B7:T7))</x:f>
        <x:v>15</x:v>
      </x:c>
    </x:row>
    <x:row r="8">
      <x:c r="A8" s="47" t="str">
        <x:f>IF('Placements'!A8="","",'Placements'!A8)</x:f>
        <x:v>WarpWarden</x:v>
      </x:c>
      <x:c r="B8" s="153" t="n">
        <x:f>IF('Placements'!B8="","",IFERROR(VLOOKUP(MIN('Placements'!B8,9),'Scoring Reference'!$A$3:$B$11,2,FALSE),0))</x:f>
        <x:v>60</x:v>
      </x:c>
      <x:c r="C8" s="154" t="n">
        <x:f>IF('Placements'!C8="","",IFERROR(VLOOKUP(MIN('Placements'!C8,9),'Scoring Reference'!$A$3:$B$11,2,FALSE),0))</x:f>
        <x:v>45</x:v>
      </x:c>
      <x:c r="D8" s="154" t="n">
        <x:f>IF('Placements'!D8="","",IFERROR(VLOOKUP(MIN('Placements'!D8,9),'Scoring Reference'!$A$3:$B$11,2,FALSE),0))</x:f>
        <x:v>30</x:v>
      </x:c>
      <x:c r="E8" s="154" t="n">
        <x:f>IF('Placements'!E8="","",IFERROR(VLOOKUP(MIN('Placements'!E8,9),'Scoring Reference'!$A$3:$B$11,2,FALSE),0))</x:f>
        <x:v>85</x:v>
      </x:c>
      <x:c r="F8" s="154" t="n">
        <x:f>IF('Placements'!F8="","",IFERROR(VLOOKUP(MIN('Placements'!F8,9),'Scoring Reference'!$A$3:$B$11,2,FALSE),0))</x:f>
        <x:v>50</x:v>
      </x:c>
      <x:c r="G8" s="154" t="n">
        <x:f>IF('Placements'!G8="","",IFERROR(VLOOKUP(MIN('Placements'!G8,9),'Scoring Reference'!$A$3:$B$11,2,FALSE),0))</x:f>
        <x:v>100</x:v>
      </x:c>
      <x:c r="H8" s="154" t="n">
        <x:f>IF('Placements'!H8="","",IFERROR(VLOOKUP(MIN('Placements'!H8,9),'Scoring Reference'!$A$3:$B$11,2,FALSE),0))</x:f>
        <x:v>85</x:v>
      </x:c>
      <x:c r="I8" s="154" t="n">
        <x:f>IF('Placements'!I8="","",IFERROR(VLOOKUP(MIN('Placements'!I8,9),'Scoring Reference'!$A$3:$B$11,2,FALSE),0))</x:f>
        <x:v>40</x:v>
      </x:c>
      <x:c r="J8" s="154" t="n">
        <x:f>IF('Placements'!J8="","",IFERROR(VLOOKUP(MIN('Placements'!J8,9),'Scoring Reference'!$A$3:$B$11,2,FALSE),0))</x:f>
        <x:v>35</x:v>
      </x:c>
      <x:c r="K8" s="154" t="str">
        <x:f>IF('Placements'!K8="","",IFERROR(VLOOKUP(MIN('Placements'!K8,9),'Scoring Reference'!$A$3:$B$11,2,FALSE),0))</x:f>
      </x:c>
      <x:c r="L8" s="154" t="str">
        <x:f>IF('Placements'!L8="","",IFERROR(VLOOKUP(MIN('Placements'!L8,9),'Scoring Reference'!$A$3:$B$11,2,FALSE),0))</x:f>
      </x:c>
      <x:c r="M8" s="154" t="n">
        <x:f>IF('Placements'!M8="","",IFERROR(VLOOKUP(MIN('Placements'!M8,9),'Scoring Reference'!$A$3:$B$11,2,FALSE),0))</x:f>
        <x:v>75</x:v>
      </x:c>
      <x:c r="N8" s="154" t="str">
        <x:f>IF('Placements'!N8="","",IFERROR(VLOOKUP(MIN('Placements'!N8,9),'Scoring Reference'!$A$3:$B$11,2,FALSE),0))</x:f>
      </x:c>
      <x:c r="O8" s="154" t="n">
        <x:f>IF('Placements'!O8="","",IFERROR(VLOOKUP(MIN('Placements'!O8,9),'Scoring Reference'!$A$3:$B$11,2,FALSE),0))</x:f>
        <x:v>35</x:v>
      </x:c>
      <x:c r="P8" s="154" t="n">
        <x:f>IF('Placements'!P8="","",IFERROR(VLOOKUP(MIN('Placements'!P8,9),'Scoring Reference'!$A$3:$B$11,2,FALSE),0))</x:f>
        <x:v>40</x:v>
      </x:c>
      <x:c r="Q8" s="154" t="str">
        <x:f>IF('Placements'!Q8="","",IFERROR(VLOOKUP(MIN('Placements'!Q8,9),'Scoring Reference'!$A$3:$B$11,2,FALSE),0))</x:f>
      </x:c>
      <x:c r="R8" s="154" t="n">
        <x:f>IF('Placements'!R8="","",IFERROR(VLOOKUP(MIN('Placements'!R8,9),'Scoring Reference'!$A$3:$B$11,2,FALSE),0))</x:f>
        <x:v>40</x:v>
      </x:c>
      <x:c r="S8" s="154" t="n">
        <x:f>IF('Placements'!S8="","",IFERROR(VLOOKUP(MIN('Placements'!S8,9),'Scoring Reference'!$A$3:$B$11,2,FALSE),0))</x:f>
        <x:v>45</x:v>
      </x:c>
      <x:c r="T8" s="155" t="n">
        <x:f>IF('Placements'!T8="","",IFERROR(VLOOKUP(MIN('Placements'!T8,9),'Scoring Reference'!$A$3:$B$11,2,FALSE),0))</x:f>
        <x:v>45</x:v>
      </x:c>
      <x:c r="U8" s="208" t="n">
        <x:f>IF(A8="","",SUM(B8:T8))</x:f>
        <x:v>810</x:v>
      </x:c>
      <x:c r="V8" s="209" t="n">
        <x:f>IF(A8="","",1+IF($U$5&gt;U8,1,0)+IF($U$6&gt;U8,1,0)+IF($U$7&gt;U8,1,0)+IF($U$8&gt;U8,1,0)+IF($U$9&gt;U8,1,0)+IF($U$10&gt;U8,1,0)+IF($U$11&gt;U8,1,0)+IF($U$12&gt;U8,1,0)+IF($U$13&gt;U8,1,0)+IF($U$14&gt;U8,1,0)+IF($U$15&gt;U8,1,0)+IF($U$16&gt;U8,1,0)+IF($U$17&gt;U8,1,0)+IF($U$18&gt;U8,1,0)+IF($U$19&gt;U8,1,0)+IF($U$20&gt;U8,1,0)+IF($U$21&gt;U8,1,0)+IF($U$22&gt;U8,1,0)+IF($U$23&gt;U8,1,0)+IF($U$24&gt;U8,1,0)+IF($U$25&gt;U8,1,0)+IF($U$26&gt;U8,1,0)+IF($U$27&gt;U8,1,0)+IF($U$28&gt;U8,1,0)+IF($U$29&gt;U8,1,0)+IF($U$30&gt;U8,1,0)+IF($U$31&gt;U8,1,0)+IF($U$32&gt;U8,1,0)+IF($U$33&gt;U8,1,0)+IF($U$34&gt;U8,1,0)+IF($U$35&gt;U8,1,0)+IF($U$36&gt;U8,1,0))</x:f>
        <x:v>7</x:v>
      </x:c>
      <x:c r="W8" s="210" t="n">
        <x:f>IF(A8="","",COUNT(B8:T8))</x:f>
        <x:v>15</x:v>
      </x:c>
    </x:row>
    <x:row r="9">
      <x:c r="A9" s="47" t="str">
        <x:f>IF('Placements'!A9="","",'Placements'!A9)</x:f>
        <x:v>LeapFrog</x:v>
      </x:c>
      <x:c r="B9" s="153" t="n">
        <x:f>IF('Placements'!B9="","",IFERROR(VLOOKUP(MIN('Placements'!B9,9),'Scoring Reference'!$A$3:$B$11,2,FALSE),0))</x:f>
        <x:v>30</x:v>
      </x:c>
      <x:c r="C9" s="154" t="n">
        <x:f>IF('Placements'!C9="","",IFERROR(VLOOKUP(MIN('Placements'!C9,9),'Scoring Reference'!$A$3:$B$11,2,FALSE),0))</x:f>
        <x:v>30</x:v>
      </x:c>
      <x:c r="D9" s="154" t="n">
        <x:f>IF('Placements'!D9="","",IFERROR(VLOOKUP(MIN('Placements'!D9,9),'Scoring Reference'!$A$3:$B$11,2,FALSE),0))</x:f>
        <x:v>35</x:v>
      </x:c>
      <x:c r="E9" s="154" t="str">
        <x:f>IF('Placements'!E9="","",IFERROR(VLOOKUP(MIN('Placements'!E9,9),'Scoring Reference'!$A$3:$B$11,2,FALSE),0))</x:f>
      </x:c>
      <x:c r="F9" s="154" t="n">
        <x:f>IF('Placements'!F9="","",IFERROR(VLOOKUP(MIN('Placements'!F9,9),'Scoring Reference'!$A$3:$B$11,2,FALSE),0))</x:f>
        <x:v>60</x:v>
      </x:c>
      <x:c r="G9" s="154" t="n">
        <x:f>IF('Placements'!G9="","",IFERROR(VLOOKUP(MIN('Placements'!G9,9),'Scoring Reference'!$A$3:$B$11,2,FALSE),0))</x:f>
        <x:v>30</x:v>
      </x:c>
      <x:c r="H9" s="154" t="n">
        <x:f>IF('Placements'!H9="","",IFERROR(VLOOKUP(MIN('Placements'!H9,9),'Scoring Reference'!$A$3:$B$11,2,FALSE),0))</x:f>
        <x:v>30</x:v>
      </x:c>
      <x:c r="I9" s="154" t="n">
        <x:f>IF('Placements'!I9="","",IFERROR(VLOOKUP(MIN('Placements'!I9,9),'Scoring Reference'!$A$3:$B$11,2,FALSE),0))</x:f>
        <x:v>30</x:v>
      </x:c>
      <x:c r="J9" s="154" t="n">
        <x:f>IF('Placements'!J9="","",IFERROR(VLOOKUP(MIN('Placements'!J9,9),'Scoring Reference'!$A$3:$B$11,2,FALSE),0))</x:f>
        <x:v>100</x:v>
      </x:c>
      <x:c r="K9" s="154" t="n">
        <x:f>IF('Placements'!K9="","",IFERROR(VLOOKUP(MIN('Placements'!K9,9),'Scoring Reference'!$A$3:$B$11,2,FALSE),0))</x:f>
        <x:v>40</x:v>
      </x:c>
      <x:c r="L9" s="154" t="n">
        <x:f>IF('Placements'!L9="","",IFERROR(VLOOKUP(MIN('Placements'!L9,9),'Scoring Reference'!$A$3:$B$11,2,FALSE),0))</x:f>
        <x:v>75</x:v>
      </x:c>
      <x:c r="M9" s="154" t="n">
        <x:f>IF('Placements'!M9="","",IFERROR(VLOOKUP(MIN('Placements'!M9,9),'Scoring Reference'!$A$3:$B$11,2,FALSE),0))</x:f>
        <x:v>50</x:v>
      </x:c>
      <x:c r="N9" s="154" t="n">
        <x:f>IF('Placements'!N9="","",IFERROR(VLOOKUP(MIN('Placements'!N9,9),'Scoring Reference'!$A$3:$B$11,2,FALSE),0))</x:f>
        <x:v>35</x:v>
      </x:c>
      <x:c r="O9" s="154" t="str">
        <x:f>IF('Placements'!O9="","",IFERROR(VLOOKUP(MIN('Placements'!O9,9),'Scoring Reference'!$A$3:$B$11,2,FALSE),0))</x:f>
      </x:c>
      <x:c r="P9" s="154" t="str">
        <x:f>IF('Placements'!P9="","",IFERROR(VLOOKUP(MIN('Placements'!P9,9),'Scoring Reference'!$A$3:$B$11,2,FALSE),0))</x:f>
      </x:c>
      <x:c r="Q9" s="154" t="n">
        <x:f>IF('Placements'!Q9="","",IFERROR(VLOOKUP(MIN('Placements'!Q9,9),'Scoring Reference'!$A$3:$B$11,2,FALSE),0))</x:f>
        <x:v>60</x:v>
      </x:c>
      <x:c r="R9" s="154" t="n">
        <x:f>IF('Placements'!R9="","",IFERROR(VLOOKUP(MIN('Placements'!R9,9),'Scoring Reference'!$A$3:$B$11,2,FALSE),0))</x:f>
        <x:v>45</x:v>
      </x:c>
      <x:c r="S9" s="154" t="str">
        <x:f>IF('Placements'!S9="","",IFERROR(VLOOKUP(MIN('Placements'!S9,9),'Scoring Reference'!$A$3:$B$11,2,FALSE),0))</x:f>
      </x:c>
      <x:c r="T9" s="155" t="n">
        <x:f>IF('Placements'!T9="","",IFERROR(VLOOKUP(MIN('Placements'!T9,9),'Scoring Reference'!$A$3:$B$11,2,FALSE),0))</x:f>
        <x:v>50</x:v>
      </x:c>
      <x:c r="U9" s="208" t="n">
        <x:f>IF(A9="","",SUM(B9:T9))</x:f>
        <x:v>700</x:v>
      </x:c>
      <x:c r="V9" s="209" t="n">
        <x:f>IF(A9="","",1+IF($U$5&gt;U9,1,0)+IF($U$6&gt;U9,1,0)+IF($U$7&gt;U9,1,0)+IF($U$8&gt;U9,1,0)+IF($U$9&gt;U9,1,0)+IF($U$10&gt;U9,1,0)+IF($U$11&gt;U9,1,0)+IF($U$12&gt;U9,1,0)+IF($U$13&gt;U9,1,0)+IF($U$14&gt;U9,1,0)+IF($U$15&gt;U9,1,0)+IF($U$16&gt;U9,1,0)+IF($U$17&gt;U9,1,0)+IF($U$18&gt;U9,1,0)+IF($U$19&gt;U9,1,0)+IF($U$20&gt;U9,1,0)+IF($U$21&gt;U9,1,0)+IF($U$22&gt;U9,1,0)+IF($U$23&gt;U9,1,0)+IF($U$24&gt;U9,1,0)+IF($U$25&gt;U9,1,0)+IF($U$26&gt;U9,1,0)+IF($U$27&gt;U9,1,0)+IF($U$28&gt;U9,1,0)+IF($U$29&gt;U9,1,0)+IF($U$30&gt;U9,1,0)+IF($U$31&gt;U9,1,0)+IF($U$32&gt;U9,1,0)+IF($U$33&gt;U9,1,0)+IF($U$34&gt;U9,1,0)+IF($U$35&gt;U9,1,0)+IF($U$36&gt;U9,1,0))</x:f>
        <x:v>10</x:v>
      </x:c>
      <x:c r="W9" s="210" t="n">
        <x:f>IF(A9="","",COUNT(B9:T9))</x:f>
        <x:v>15</x:v>
      </x:c>
    </x:row>
    <x:row r="10">
      <x:c r="A10" s="47" t="str">
        <x:f>IF('Placements'!A10="","",'Placements'!A10)</x:f>
        <x:v>FrostByte</x:v>
      </x:c>
      <x:c r="B10" s="153" t="n">
        <x:f>IF('Placements'!B10="","",IFERROR(VLOOKUP(MIN('Placements'!B10,9),'Scoring Reference'!$A$3:$B$11,2,FALSE),0))</x:f>
        <x:v>85</x:v>
      </x:c>
      <x:c r="C10" s="154" t="n">
        <x:f>IF('Placements'!C10="","",IFERROR(VLOOKUP(MIN('Placements'!C10,9),'Scoring Reference'!$A$3:$B$11,2,FALSE),0))</x:f>
        <x:v>85</x:v>
      </x:c>
      <x:c r="D10" s="154" t="n">
        <x:f>IF('Placements'!D10="","",IFERROR(VLOOKUP(MIN('Placements'!D10,9),'Scoring Reference'!$A$3:$B$11,2,FALSE),0))</x:f>
        <x:v>60</x:v>
      </x:c>
      <x:c r="E10" s="154" t="n">
        <x:f>IF('Placements'!E10="","",IFERROR(VLOOKUP(MIN('Placements'!E10,9),'Scoring Reference'!$A$3:$B$11,2,FALSE),0))</x:f>
        <x:v>40</x:v>
      </x:c>
      <x:c r="F10" s="154" t="n">
        <x:f>IF('Placements'!F10="","",IFERROR(VLOOKUP(MIN('Placements'!F10,9),'Scoring Reference'!$A$3:$B$11,2,FALSE),0))</x:f>
        <x:v>40</x:v>
      </x:c>
      <x:c r="G10" s="154" t="str">
        <x:f>IF('Placements'!G10="","",IFERROR(VLOOKUP(MIN('Placements'!G10,9),'Scoring Reference'!$A$3:$B$11,2,FALSE),0))</x:f>
      </x:c>
      <x:c r="H10" s="154" t="n">
        <x:f>IF('Placements'!H10="","",IFERROR(VLOOKUP(MIN('Placements'!H10,9),'Scoring Reference'!$A$3:$B$11,2,FALSE),0))</x:f>
        <x:v>30</x:v>
      </x:c>
      <x:c r="I10" s="154" t="n">
        <x:f>IF('Placements'!I10="","",IFERROR(VLOOKUP(MIN('Placements'!I10,9),'Scoring Reference'!$A$3:$B$11,2,FALSE),0))</x:f>
        <x:v>100</x:v>
      </x:c>
      <x:c r="J10" s="154" t="n">
        <x:f>IF('Placements'!J10="","",IFERROR(VLOOKUP(MIN('Placements'!J10,9),'Scoring Reference'!$A$3:$B$11,2,FALSE),0))</x:f>
        <x:v>50</x:v>
      </x:c>
      <x:c r="K10" s="154" t="n">
        <x:f>IF('Placements'!K10="","",IFERROR(VLOOKUP(MIN('Placements'!K10,9),'Scoring Reference'!$A$3:$B$11,2,FALSE),0))</x:f>
        <x:v>50</x:v>
      </x:c>
      <x:c r="L10" s="154" t="n">
        <x:f>IF('Placements'!L10="","",IFERROR(VLOOKUP(MIN('Placements'!L10,9),'Scoring Reference'!$A$3:$B$11,2,FALSE),0))</x:f>
        <x:v>40</x:v>
      </x:c>
      <x:c r="M10" s="154" t="n">
        <x:f>IF('Placements'!M10="","",IFERROR(VLOOKUP(MIN('Placements'!M10,9),'Scoring Reference'!$A$3:$B$11,2,FALSE),0))</x:f>
        <x:v>30</x:v>
      </x:c>
      <x:c r="N10" s="154" t="n">
        <x:f>IF('Placements'!N10="","",IFERROR(VLOOKUP(MIN('Placements'!N10,9),'Scoring Reference'!$A$3:$B$11,2,FALSE),0))</x:f>
        <x:v>85</x:v>
      </x:c>
      <x:c r="O10" s="154" t="n">
        <x:f>IF('Placements'!O10="","",IFERROR(VLOOKUP(MIN('Placements'!O10,9),'Scoring Reference'!$A$3:$B$11,2,FALSE),0))</x:f>
        <x:v>85</x:v>
      </x:c>
      <x:c r="P10" s="154" t="n">
        <x:f>IF('Placements'!P10="","",IFERROR(VLOOKUP(MIN('Placements'!P10,9),'Scoring Reference'!$A$3:$B$11,2,FALSE),0))</x:f>
        <x:v>30</x:v>
      </x:c>
      <x:c r="Q10" s="154" t="n">
        <x:f>IF('Placements'!Q10="","",IFERROR(VLOOKUP(MIN('Placements'!Q10,9),'Scoring Reference'!$A$3:$B$11,2,FALSE),0))</x:f>
        <x:v>75</x:v>
      </x:c>
      <x:c r="R10" s="154" t="n">
        <x:f>IF('Placements'!R10="","",IFERROR(VLOOKUP(MIN('Placements'!R10,9),'Scoring Reference'!$A$3:$B$11,2,FALSE),0))</x:f>
        <x:v>100</x:v>
      </x:c>
      <x:c r="S10" s="154" t="str">
        <x:f>IF('Placements'!S10="","",IFERROR(VLOOKUP(MIN('Placements'!S10,9),'Scoring Reference'!$A$3:$B$11,2,FALSE),0))</x:f>
      </x:c>
      <x:c r="T10" s="155" t="str">
        <x:f>IF('Placements'!T10="","",IFERROR(VLOOKUP(MIN('Placements'!T10,9),'Scoring Reference'!$A$3:$B$11,2,FALSE),0))</x:f>
      </x:c>
      <x:c r="U10" s="208" t="n">
        <x:f>IF(A10="","",SUM(B10:T10))</x:f>
        <x:v>985</x:v>
      </x:c>
      <x:c r="V10" s="209" t="n">
        <x:f>IF(A10="","",1+IF($U$5&gt;U10,1,0)+IF($U$6&gt;U10,1,0)+IF($U$7&gt;U10,1,0)+IF($U$8&gt;U10,1,0)+IF($U$9&gt;U10,1,0)+IF($U$10&gt;U10,1,0)+IF($U$11&gt;U10,1,0)+IF($U$12&gt;U10,1,0)+IF($U$13&gt;U10,1,0)+IF($U$14&gt;U10,1,0)+IF($U$15&gt;U10,1,0)+IF($U$16&gt;U10,1,0)+IF($U$17&gt;U10,1,0)+IF($U$18&gt;U10,1,0)+IF($U$19&gt;U10,1,0)+IF($U$20&gt;U10,1,0)+IF($U$21&gt;U10,1,0)+IF($U$22&gt;U10,1,0)+IF($U$23&gt;U10,1,0)+IF($U$24&gt;U10,1,0)+IF($U$25&gt;U10,1,0)+IF($U$26&gt;U10,1,0)+IF($U$27&gt;U10,1,0)+IF($U$28&gt;U10,1,0)+IF($U$29&gt;U10,1,0)+IF($U$30&gt;U10,1,0)+IF($U$31&gt;U10,1,0)+IF($U$32&gt;U10,1,0)+IF($U$33&gt;U10,1,0)+IF($U$34&gt;U10,1,0)+IF($U$35&gt;U10,1,0)+IF($U$36&gt;U10,1,0))</x:f>
        <x:v>3</x:v>
      </x:c>
      <x:c r="W10" s="210" t="n">
        <x:f>IF(A10="","",COUNT(B10:T10))</x:f>
        <x:v>16</x:v>
      </x:c>
    </x:row>
    <x:row r="11">
      <x:c r="A11" s="47" t="str">
        <x:f>IF('Placements'!A11="","",'Placements'!A11)</x:f>
        <x:v>SwampRunner</x:v>
      </x:c>
      <x:c r="B11" s="153" t="n">
        <x:f>IF('Placements'!B11="","",IFERROR(VLOOKUP(MIN('Placements'!B11,9),'Scoring Reference'!$A$3:$B$11,2,FALSE),0))</x:f>
        <x:v>30</x:v>
      </x:c>
      <x:c r="C11" s="154" t="n">
        <x:f>IF('Placements'!C11="","",IFERROR(VLOOKUP(MIN('Placements'!C11,9),'Scoring Reference'!$A$3:$B$11,2,FALSE),0))</x:f>
        <x:v>50</x:v>
      </x:c>
      <x:c r="D11" s="154" t="n">
        <x:f>IF('Placements'!D11="","",IFERROR(VLOOKUP(MIN('Placements'!D11,9),'Scoring Reference'!$A$3:$B$11,2,FALSE),0))</x:f>
        <x:v>100</x:v>
      </x:c>
      <x:c r="E11" s="154" t="n">
        <x:f>IF('Placements'!E11="","",IFERROR(VLOOKUP(MIN('Placements'!E11,9),'Scoring Reference'!$A$3:$B$11,2,FALSE),0))</x:f>
        <x:v>60</x:v>
      </x:c>
      <x:c r="F11" s="154" t="n">
        <x:f>IF('Placements'!F11="","",IFERROR(VLOOKUP(MIN('Placements'!F11,9),'Scoring Reference'!$A$3:$B$11,2,FALSE),0))</x:f>
        <x:v>100</x:v>
      </x:c>
      <x:c r="G11" s="154" t="n">
        <x:f>IF('Placements'!G11="","",IFERROR(VLOOKUP(MIN('Placements'!G11,9),'Scoring Reference'!$A$3:$B$11,2,FALSE),0))</x:f>
        <x:v>40</x:v>
      </x:c>
      <x:c r="H11" s="154" t="str">
        <x:f>IF('Placements'!H11="","",IFERROR(VLOOKUP(MIN('Placements'!H11,9),'Scoring Reference'!$A$3:$B$11,2,FALSE),0))</x:f>
      </x:c>
      <x:c r="I11" s="154" t="n">
        <x:f>IF('Placements'!I11="","",IFERROR(VLOOKUP(MIN('Placements'!I11,9),'Scoring Reference'!$A$3:$B$11,2,FALSE),0))</x:f>
        <x:v>75</x:v>
      </x:c>
      <x:c r="J11" s="154" t="n">
        <x:f>IF('Placements'!J11="","",IFERROR(VLOOKUP(MIN('Placements'!J11,9),'Scoring Reference'!$A$3:$B$11,2,FALSE),0))</x:f>
        <x:v>40</x:v>
      </x:c>
      <x:c r="K11" s="154" t="n">
        <x:f>IF('Placements'!K11="","",IFERROR(VLOOKUP(MIN('Placements'!K11,9),'Scoring Reference'!$A$3:$B$11,2,FALSE),0))</x:f>
        <x:v>45</x:v>
      </x:c>
      <x:c r="L11" s="154" t="str">
        <x:f>IF('Placements'!L11="","",IFERROR(VLOOKUP(MIN('Placements'!L11,9),'Scoring Reference'!$A$3:$B$11,2,FALSE),0))</x:f>
      </x:c>
      <x:c r="M11" s="154" t="n">
        <x:f>IF('Placements'!M11="","",IFERROR(VLOOKUP(MIN('Placements'!M11,9),'Scoring Reference'!$A$3:$B$11,2,FALSE),0))</x:f>
        <x:v>30</x:v>
      </x:c>
      <x:c r="N11" s="154" t="n">
        <x:f>IF('Placements'!N11="","",IFERROR(VLOOKUP(MIN('Placements'!N11,9),'Scoring Reference'!$A$3:$B$11,2,FALSE),0))</x:f>
        <x:v>100</x:v>
      </x:c>
      <x:c r="O11" s="154" t="n">
        <x:f>IF('Placements'!O11="","",IFERROR(VLOOKUP(MIN('Placements'!O11,9),'Scoring Reference'!$A$3:$B$11,2,FALSE),0))</x:f>
        <x:v>100</x:v>
      </x:c>
      <x:c r="P11" s="154" t="n">
        <x:f>IF('Placements'!P11="","",IFERROR(VLOOKUP(MIN('Placements'!P11,9),'Scoring Reference'!$A$3:$B$11,2,FALSE),0))</x:f>
        <x:v>100</x:v>
      </x:c>
      <x:c r="Q11" s="154" t="n">
        <x:f>IF('Placements'!Q11="","",IFERROR(VLOOKUP(MIN('Placements'!Q11,9),'Scoring Reference'!$A$3:$B$11,2,FALSE),0))</x:f>
        <x:v>85</x:v>
      </x:c>
      <x:c r="R11" s="154" t="n">
        <x:f>IF('Placements'!R11="","",IFERROR(VLOOKUP(MIN('Placements'!R11,9),'Scoring Reference'!$A$3:$B$11,2,FALSE),0))</x:f>
        <x:v>75</x:v>
      </x:c>
      <x:c r="S11" s="154" t="n">
        <x:f>IF('Placements'!S11="","",IFERROR(VLOOKUP(MIN('Placements'!S11,9),'Scoring Reference'!$A$3:$B$11,2,FALSE),0))</x:f>
        <x:v>100</x:v>
      </x:c>
      <x:c r="T11" s="155" t="n">
        <x:f>IF('Placements'!T11="","",IFERROR(VLOOKUP(MIN('Placements'!T11,9),'Scoring Reference'!$A$3:$B$11,2,FALSE),0))</x:f>
        <x:v>35</x:v>
      </x:c>
      <x:c r="U11" s="208" t="n">
        <x:f>IF(A11="","",SUM(B11:T11))</x:f>
        <x:v>1165</x:v>
      </x:c>
      <x:c r="V11" s="209" t="n">
        <x:f>IF(A11="","",1+IF($U$5&gt;U11,1,0)+IF($U$6&gt;U11,1,0)+IF($U$7&gt;U11,1,0)+IF($U$8&gt;U11,1,0)+IF($U$9&gt;U11,1,0)+IF($U$10&gt;U11,1,0)+IF($U$11&gt;U11,1,0)+IF($U$12&gt;U11,1,0)+IF($U$13&gt;U11,1,0)+IF($U$14&gt;U11,1,0)+IF($U$15&gt;U11,1,0)+IF($U$16&gt;U11,1,0)+IF($U$17&gt;U11,1,0)+IF($U$18&gt;U11,1,0)+IF($U$19&gt;U11,1,0)+IF($U$20&gt;U11,1,0)+IF($U$21&gt;U11,1,0)+IF($U$22&gt;U11,1,0)+IF($U$23&gt;U11,1,0)+IF($U$24&gt;U11,1,0)+IF($U$25&gt;U11,1,0)+IF($U$26&gt;U11,1,0)+IF($U$27&gt;U11,1,0)+IF($U$28&gt;U11,1,0)+IF($U$29&gt;U11,1,0)+IF($U$30&gt;U11,1,0)+IF($U$31&gt;U11,1,0)+IF($U$32&gt;U11,1,0)+IF($U$33&gt;U11,1,0)+IF($U$34&gt;U11,1,0)+IF($U$35&gt;U11,1,0)+IF($U$36&gt;U11,1,0))</x:f>
        <x:v>1</x:v>
      </x:c>
      <x:c r="W11" s="210" t="n">
        <x:f>IF(A11="","",COUNT(B11:T11))</x:f>
        <x:v>17</x:v>
      </x:c>
    </x:row>
    <x:row r="12">
      <x:c r="A12" s="47" t="str">
        <x:f>IF('Placements'!A12="","",'Placements'!A12)</x:f>
        <x:v>Lotus</x:v>
      </x:c>
      <x:c r="B12" s="153" t="n">
        <x:f>IF('Placements'!B12="","",IFERROR(VLOOKUP(MIN('Placements'!B12,9),'Scoring Reference'!$A$3:$B$11,2,FALSE),0))</x:f>
        <x:v>30</x:v>
      </x:c>
      <x:c r="C12" s="154" t="str">
        <x:f>IF('Placements'!C12="","",IFERROR(VLOOKUP(MIN('Placements'!C12,9),'Scoring Reference'!$A$3:$B$11,2,FALSE),0))</x:f>
      </x:c>
      <x:c r="D12" s="154" t="n">
        <x:f>IF('Placements'!D12="","",IFERROR(VLOOKUP(MIN('Placements'!D12,9),'Scoring Reference'!$A$3:$B$11,2,FALSE),0))</x:f>
        <x:v>50</x:v>
      </x:c>
      <x:c r="E12" s="154" t="str">
        <x:f>IF('Placements'!E12="","",IFERROR(VLOOKUP(MIN('Placements'!E12,9),'Scoring Reference'!$A$3:$B$11,2,FALSE),0))</x:f>
      </x:c>
      <x:c r="F12" s="154" t="n">
        <x:f>IF('Placements'!F12="","",IFERROR(VLOOKUP(MIN('Placements'!F12,9),'Scoring Reference'!$A$3:$B$11,2,FALSE),0))</x:f>
        <x:v>30</x:v>
      </x:c>
      <x:c r="G12" s="154" t="n">
        <x:f>IF('Placements'!G12="","",IFERROR(VLOOKUP(MIN('Placements'!G12,9),'Scoring Reference'!$A$3:$B$11,2,FALSE),0))</x:f>
        <x:v>45</x:v>
      </x:c>
      <x:c r="H12" s="154" t="n">
        <x:f>IF('Placements'!H12="","",IFERROR(VLOOKUP(MIN('Placements'!H12,9),'Scoring Reference'!$A$3:$B$11,2,FALSE),0))</x:f>
        <x:v>45</x:v>
      </x:c>
      <x:c r="I12" s="154" t="n">
        <x:f>IF('Placements'!I12="","",IFERROR(VLOOKUP(MIN('Placements'!I12,9),'Scoring Reference'!$A$3:$B$11,2,FALSE),0))</x:f>
        <x:v>60</x:v>
      </x:c>
      <x:c r="J12" s="154" t="n">
        <x:f>IF('Placements'!J12="","",IFERROR(VLOOKUP(MIN('Placements'!J12,9),'Scoring Reference'!$A$3:$B$11,2,FALSE),0))</x:f>
        <x:v>75</x:v>
      </x:c>
      <x:c r="K12" s="154" t="n">
        <x:f>IF('Placements'!K12="","",IFERROR(VLOOKUP(MIN('Placements'!K12,9),'Scoring Reference'!$A$3:$B$11,2,FALSE),0))</x:f>
        <x:v>35</x:v>
      </x:c>
      <x:c r="L12" s="154" t="n">
        <x:f>IF('Placements'!L12="","",IFERROR(VLOOKUP(MIN('Placements'!L12,9),'Scoring Reference'!$A$3:$B$11,2,FALSE),0))</x:f>
        <x:v>35</x:v>
      </x:c>
      <x:c r="M12" s="154" t="n">
        <x:f>IF('Placements'!M12="","",IFERROR(VLOOKUP(MIN('Placements'!M12,9),'Scoring Reference'!$A$3:$B$11,2,FALSE),0))</x:f>
        <x:v>35</x:v>
      </x:c>
      <x:c r="N12" s="154" t="n">
        <x:f>IF('Placements'!N12="","",IFERROR(VLOOKUP(MIN('Placements'!N12,9),'Scoring Reference'!$A$3:$B$11,2,FALSE),0))</x:f>
        <x:v>45</x:v>
      </x:c>
      <x:c r="O12" s="154" t="n">
        <x:f>IF('Placements'!O12="","",IFERROR(VLOOKUP(MIN('Placements'!O12,9),'Scoring Reference'!$A$3:$B$11,2,FALSE),0))</x:f>
        <x:v>60</x:v>
      </x:c>
      <x:c r="P12" s="154" t="n">
        <x:f>IF('Placements'!P12="","",IFERROR(VLOOKUP(MIN('Placements'!P12,9),'Scoring Reference'!$A$3:$B$11,2,FALSE),0))</x:f>
        <x:v>75</x:v>
      </x:c>
      <x:c r="Q12" s="154" t="n">
        <x:f>IF('Placements'!Q12="","",IFERROR(VLOOKUP(MIN('Placements'!Q12,9),'Scoring Reference'!$A$3:$B$11,2,FALSE),0))</x:f>
        <x:v>40</x:v>
      </x:c>
      <x:c r="R12" s="154" t="n">
        <x:f>IF('Placements'!R12="","",IFERROR(VLOOKUP(MIN('Placements'!R12,9),'Scoring Reference'!$A$3:$B$11,2,FALSE),0))</x:f>
        <x:v>30</x:v>
      </x:c>
      <x:c r="S12" s="154" t="n">
        <x:f>IF('Placements'!S12="","",IFERROR(VLOOKUP(MIN('Placements'!S12,9),'Scoring Reference'!$A$3:$B$11,2,FALSE),0))</x:f>
        <x:v>50</x:v>
      </x:c>
      <x:c r="T12" s="155" t="n">
        <x:f>IF('Placements'!T12="","",IFERROR(VLOOKUP(MIN('Placements'!T12,9),'Scoring Reference'!$A$3:$B$11,2,FALSE),0))</x:f>
        <x:v>100</x:v>
      </x:c>
      <x:c r="U12" s="208" t="n">
        <x:f>IF(A12="","",SUM(B12:T12))</x:f>
        <x:v>840</x:v>
      </x:c>
      <x:c r="V12" s="209" t="n">
        <x:f>IF(A12="","",1+IF($U$5&gt;U12,1,0)+IF($U$6&gt;U12,1,0)+IF($U$7&gt;U12,1,0)+IF($U$8&gt;U12,1,0)+IF($U$9&gt;U12,1,0)+IF($U$10&gt;U12,1,0)+IF($U$11&gt;U12,1,0)+IF($U$12&gt;U12,1,0)+IF($U$13&gt;U12,1,0)+IF($U$14&gt;U12,1,0)+IF($U$15&gt;U12,1,0)+IF($U$16&gt;U12,1,0)+IF($U$17&gt;U12,1,0)+IF($U$18&gt;U12,1,0)+IF($U$19&gt;U12,1,0)+IF($U$20&gt;U12,1,0)+IF($U$21&gt;U12,1,0)+IF($U$22&gt;U12,1,0)+IF($U$23&gt;U12,1,0)+IF($U$24&gt;U12,1,0)+IF($U$25&gt;U12,1,0)+IF($U$26&gt;U12,1,0)+IF($U$27&gt;U12,1,0)+IF($U$28&gt;U12,1,0)+IF($U$29&gt;U12,1,0)+IF($U$30&gt;U12,1,0)+IF($U$31&gt;U12,1,0)+IF($U$32&gt;U12,1,0)+IF($U$33&gt;U12,1,0)+IF($U$34&gt;U12,1,0)+IF($U$35&gt;U12,1,0)+IF($U$36&gt;U12,1,0))</x:f>
        <x:v>6</x:v>
      </x:c>
      <x:c r="W12" s="210" t="n">
        <x:f>IF(A12="","",COUNT(B12:T12))</x:f>
        <x:v>17</x:v>
      </x:c>
    </x:row>
    <x:row r="13">
      <x:c r="A13" s="47" t="str">
        <x:f>IF('Placements'!A13="","",'Placements'!A13)</x:f>
        <x:v>PirateKing</x:v>
      </x:c>
      <x:c r="B13" s="153" t="n">
        <x:f>IF('Placements'!B13="","",IFERROR(VLOOKUP(MIN('Placements'!B13,9),'Scoring Reference'!$A$3:$B$11,2,FALSE),0))</x:f>
        <x:v>75</x:v>
      </x:c>
      <x:c r="C13" s="154" t="n">
        <x:f>IF('Placements'!C13="","",IFERROR(VLOOKUP(MIN('Placements'!C13,9),'Scoring Reference'!$A$3:$B$11,2,FALSE),0))</x:f>
        <x:v>75</x:v>
      </x:c>
      <x:c r="D13" s="154" t="n">
        <x:f>IF('Placements'!D13="","",IFERROR(VLOOKUP(MIN('Placements'!D13,9),'Scoring Reference'!$A$3:$B$11,2,FALSE),0))</x:f>
        <x:v>45</x:v>
      </x:c>
      <x:c r="E13" s="154" t="n">
        <x:f>IF('Placements'!E13="","",IFERROR(VLOOKUP(MIN('Placements'!E13,9),'Scoring Reference'!$A$3:$B$11,2,FALSE),0))</x:f>
        <x:v>30</x:v>
      </x:c>
      <x:c r="F13" s="154" t="n">
        <x:f>IF('Placements'!F13="","",IFERROR(VLOOKUP(MIN('Placements'!F13,9),'Scoring Reference'!$A$3:$B$11,2,FALSE),0))</x:f>
        <x:v>75</x:v>
      </x:c>
      <x:c r="G13" s="154" t="n">
        <x:f>IF('Placements'!G13="","",IFERROR(VLOOKUP(MIN('Placements'!G13,9),'Scoring Reference'!$A$3:$B$11,2,FALSE),0))</x:f>
        <x:v>35</x:v>
      </x:c>
      <x:c r="H13" s="154" t="n">
        <x:f>IF('Placements'!H13="","",IFERROR(VLOOKUP(MIN('Placements'!H13,9),'Scoring Reference'!$A$3:$B$11,2,FALSE),0))</x:f>
        <x:v>75</x:v>
      </x:c>
      <x:c r="I13" s="154" t="n">
        <x:f>IF('Placements'!I13="","",IFERROR(VLOOKUP(MIN('Placements'!I13,9),'Scoring Reference'!$A$3:$B$11,2,FALSE),0))</x:f>
        <x:v>30</x:v>
      </x:c>
      <x:c r="J13" s="154" t="str">
        <x:f>IF('Placements'!J13="","",IFERROR(VLOOKUP(MIN('Placements'!J13,9),'Scoring Reference'!$A$3:$B$11,2,FALSE),0))</x:f>
      </x:c>
      <x:c r="K13" s="154" t="n">
        <x:f>IF('Placements'!K13="","",IFERROR(VLOOKUP(MIN('Placements'!K13,9),'Scoring Reference'!$A$3:$B$11,2,FALSE),0))</x:f>
        <x:v>60</x:v>
      </x:c>
      <x:c r="L13" s="154" t="n">
        <x:f>IF('Placements'!L13="","",IFERROR(VLOOKUP(MIN('Placements'!L13,9),'Scoring Reference'!$A$3:$B$11,2,FALSE),0))</x:f>
        <x:v>45</x:v>
      </x:c>
      <x:c r="M13" s="154" t="n">
        <x:f>IF('Placements'!M13="","",IFERROR(VLOOKUP(MIN('Placements'!M13,9),'Scoring Reference'!$A$3:$B$11,2,FALSE),0))</x:f>
        <x:v>100</x:v>
      </x:c>
      <x:c r="N13" s="154" t="str">
        <x:f>IF('Placements'!N13="","",IFERROR(VLOOKUP(MIN('Placements'!N13,9),'Scoring Reference'!$A$3:$B$11,2,FALSE),0))</x:f>
      </x:c>
      <x:c r="O13" s="154" t="str">
        <x:f>IF('Placements'!O13="","",IFERROR(VLOOKUP(MIN('Placements'!O13,9),'Scoring Reference'!$A$3:$B$11,2,FALSE),0))</x:f>
      </x:c>
      <x:c r="P13" s="154" t="n">
        <x:f>IF('Placements'!P13="","",IFERROR(VLOOKUP(MIN('Placements'!P13,9),'Scoring Reference'!$A$3:$B$11,2,FALSE),0))</x:f>
        <x:v>35</x:v>
      </x:c>
      <x:c r="Q13" s="154" t="n">
        <x:f>IF('Placements'!Q13="","",IFERROR(VLOOKUP(MIN('Placements'!Q13,9),'Scoring Reference'!$A$3:$B$11,2,FALSE),0))</x:f>
        <x:v>35</x:v>
      </x:c>
      <x:c r="R13" s="154" t="n">
        <x:f>IF('Placements'!R13="","",IFERROR(VLOOKUP(MIN('Placements'!R13,9),'Scoring Reference'!$A$3:$B$11,2,FALSE),0))</x:f>
        <x:v>30</x:v>
      </x:c>
      <x:c r="S13" s="154" t="n">
        <x:f>IF('Placements'!S13="","",IFERROR(VLOOKUP(MIN('Placements'!S13,9),'Scoring Reference'!$A$3:$B$11,2,FALSE),0))</x:f>
        <x:v>85</x:v>
      </x:c>
      <x:c r="T13" s="155" t="n">
        <x:f>IF('Placements'!T13="","",IFERROR(VLOOKUP(MIN('Placements'!T13,9),'Scoring Reference'!$A$3:$B$11,2,FALSE),0))</x:f>
        <x:v>40</x:v>
      </x:c>
      <x:c r="U13" s="208" t="n">
        <x:f>IF(A13="","",SUM(B13:T13))</x:f>
        <x:v>870</x:v>
      </x:c>
      <x:c r="V13" s="209" t="n">
        <x:f>IF(A13="","",1+IF($U$5&gt;U13,1,0)+IF($U$6&gt;U13,1,0)+IF($U$7&gt;U13,1,0)+IF($U$8&gt;U13,1,0)+IF($U$9&gt;U13,1,0)+IF($U$10&gt;U13,1,0)+IF($U$11&gt;U13,1,0)+IF($U$12&gt;U13,1,0)+IF($U$13&gt;U13,1,0)+IF($U$14&gt;U13,1,0)+IF($U$15&gt;U13,1,0)+IF($U$16&gt;U13,1,0)+IF($U$17&gt;U13,1,0)+IF($U$18&gt;U13,1,0)+IF($U$19&gt;U13,1,0)+IF($U$20&gt;U13,1,0)+IF($U$21&gt;U13,1,0)+IF($U$22&gt;U13,1,0)+IF($U$23&gt;U13,1,0)+IF($U$24&gt;U13,1,0)+IF($U$25&gt;U13,1,0)+IF($U$26&gt;U13,1,0)+IF($U$27&gt;U13,1,0)+IF($U$28&gt;U13,1,0)+IF($U$29&gt;U13,1,0)+IF($U$30&gt;U13,1,0)+IF($U$31&gt;U13,1,0)+IF($U$32&gt;U13,1,0)+IF($U$33&gt;U13,1,0)+IF($U$34&gt;U13,1,0)+IF($U$35&gt;U13,1,0)+IF($U$36&gt;U13,1,0))</x:f>
        <x:v>4</x:v>
      </x:c>
      <x:c r="W13" s="210" t="n">
        <x:f>IF(A13="","",COUNT(B13:T13))</x:f>
        <x:v>16</x:v>
      </x:c>
    </x:row>
    <x:row r="14">
      <x:c r="A14" s="47" t="str">
        <x:f>IF('Placements'!A14="","",'Placements'!A14)</x:f>
        <x:v>DiggerDan</x:v>
      </x:c>
      <x:c r="B14" s="153" t="n">
        <x:f>IF('Placements'!B14="","",IFERROR(VLOOKUP(MIN('Placements'!B14,9),'Scoring Reference'!$A$3:$B$11,2,FALSE),0))</x:f>
        <x:v>40</x:v>
      </x:c>
      <x:c r="C14" s="154" t="str">
        <x:f>IF('Placements'!C14="","",IFERROR(VLOOKUP(MIN('Placements'!C14,9),'Scoring Reference'!$A$3:$B$11,2,FALSE),0))</x:f>
      </x:c>
      <x:c r="D14" s="154" t="n">
        <x:f>IF('Placements'!D14="","",IFERROR(VLOOKUP(MIN('Placements'!D14,9),'Scoring Reference'!$A$3:$B$11,2,FALSE),0))</x:f>
        <x:v>30</x:v>
      </x:c>
      <x:c r="E14" s="154" t="n">
        <x:f>IF('Placements'!E14="","",IFERROR(VLOOKUP(MIN('Placements'!E14,9),'Scoring Reference'!$A$3:$B$11,2,FALSE),0))</x:f>
        <x:v>100</x:v>
      </x:c>
      <x:c r="F14" s="154" t="n">
        <x:f>IF('Placements'!F14="","",IFERROR(VLOOKUP(MIN('Placements'!F14,9),'Scoring Reference'!$A$3:$B$11,2,FALSE),0))</x:f>
        <x:v>85</x:v>
      </x:c>
      <x:c r="G14" s="154" t="n">
        <x:f>IF('Placements'!G14="","",IFERROR(VLOOKUP(MIN('Placements'!G14,9),'Scoring Reference'!$A$3:$B$11,2,FALSE),0))</x:f>
        <x:v>60</x:v>
      </x:c>
      <x:c r="H14" s="154" t="n">
        <x:f>IF('Placements'!H14="","",IFERROR(VLOOKUP(MIN('Placements'!H14,9),'Scoring Reference'!$A$3:$B$11,2,FALSE),0))</x:f>
        <x:v>60</x:v>
      </x:c>
      <x:c r="I14" s="154" t="n">
        <x:f>IF('Placements'!I14="","",IFERROR(VLOOKUP(MIN('Placements'!I14,9),'Scoring Reference'!$A$3:$B$11,2,FALSE),0))</x:f>
        <x:v>30</x:v>
      </x:c>
      <x:c r="J14" s="154" t="str">
        <x:f>IF('Placements'!J14="","",IFERROR(VLOOKUP(MIN('Placements'!J14,9),'Scoring Reference'!$A$3:$B$11,2,FALSE),0))</x:f>
      </x:c>
      <x:c r="K14" s="154" t="n">
        <x:f>IF('Placements'!K14="","",IFERROR(VLOOKUP(MIN('Placements'!K14,9),'Scoring Reference'!$A$3:$B$11,2,FALSE),0))</x:f>
        <x:v>100</x:v>
      </x:c>
      <x:c r="L14" s="154" t="str">
        <x:f>IF('Placements'!L14="","",IFERROR(VLOOKUP(MIN('Placements'!L14,9),'Scoring Reference'!$A$3:$B$11,2,FALSE),0))</x:f>
      </x:c>
      <x:c r="M14" s="154" t="n">
        <x:f>IF('Placements'!M14="","",IFERROR(VLOOKUP(MIN('Placements'!M14,9),'Scoring Reference'!$A$3:$B$11,2,FALSE),0))</x:f>
        <x:v>60</x:v>
      </x:c>
      <x:c r="N14" s="154" t="n">
        <x:f>IF('Placements'!N14="","",IFERROR(VLOOKUP(MIN('Placements'!N14,9),'Scoring Reference'!$A$3:$B$11,2,FALSE),0))</x:f>
        <x:v>50</x:v>
      </x:c>
      <x:c r="O14" s="154" t="n">
        <x:f>IF('Placements'!O14="","",IFERROR(VLOOKUP(MIN('Placements'!O14,9),'Scoring Reference'!$A$3:$B$11,2,FALSE),0))</x:f>
        <x:v>50</x:v>
      </x:c>
      <x:c r="P14" s="154" t="str">
        <x:f>IF('Placements'!P14="","",IFERROR(VLOOKUP(MIN('Placements'!P14,9),'Scoring Reference'!$A$3:$B$11,2,FALSE),0))</x:f>
      </x:c>
      <x:c r="Q14" s="154" t="str">
        <x:f>IF('Placements'!Q14="","",IFERROR(VLOOKUP(MIN('Placements'!Q14,9),'Scoring Reference'!$A$3:$B$11,2,FALSE),0))</x:f>
      </x:c>
      <x:c r="R14" s="154" t="n">
        <x:f>IF('Placements'!R14="","",IFERROR(VLOOKUP(MIN('Placements'!R14,9),'Scoring Reference'!$A$3:$B$11,2,FALSE),0))</x:f>
        <x:v>85</x:v>
      </x:c>
      <x:c r="S14" s="154" t="n">
        <x:f>IF('Placements'!S14="","",IFERROR(VLOOKUP(MIN('Placements'!S14,9),'Scoring Reference'!$A$3:$B$11,2,FALSE),0))</x:f>
        <x:v>35</x:v>
      </x:c>
      <x:c r="T14" s="155" t="str">
        <x:f>IF('Placements'!T14="","",IFERROR(VLOOKUP(MIN('Placements'!T14,9),'Scoring Reference'!$A$3:$B$11,2,FALSE),0))</x:f>
      </x:c>
      <x:c r="U14" s="208" t="n">
        <x:f>IF(A14="","",SUM(B14:T14))</x:f>
        <x:v>785</x:v>
      </x:c>
      <x:c r="V14" s="209" t="n">
        <x:f>IF(A14="","",1+IF($U$5&gt;U14,1,0)+IF($U$6&gt;U14,1,0)+IF($U$7&gt;U14,1,0)+IF($U$8&gt;U14,1,0)+IF($U$9&gt;U14,1,0)+IF($U$10&gt;U14,1,0)+IF($U$11&gt;U14,1,0)+IF($U$12&gt;U14,1,0)+IF($U$13&gt;U14,1,0)+IF($U$14&gt;U14,1,0)+IF($U$15&gt;U14,1,0)+IF($U$16&gt;U14,1,0)+IF($U$17&gt;U14,1,0)+IF($U$18&gt;U14,1,0)+IF($U$19&gt;U14,1,0)+IF($U$20&gt;U14,1,0)+IF($U$21&gt;U14,1,0)+IF($U$22&gt;U14,1,0)+IF($U$23&gt;U14,1,0)+IF($U$24&gt;U14,1,0)+IF($U$25&gt;U14,1,0)+IF($U$26&gt;U14,1,0)+IF($U$27&gt;U14,1,0)+IF($U$28&gt;U14,1,0)+IF($U$29&gt;U14,1,0)+IF($U$30&gt;U14,1,0)+IF($U$31&gt;U14,1,0)+IF($U$32&gt;U14,1,0)+IF($U$33&gt;U14,1,0)+IF($U$34&gt;U14,1,0)+IF($U$35&gt;U14,1,0)+IF($U$36&gt;U14,1,0))</x:f>
        <x:v>8</x:v>
      </x:c>
      <x:c r="W14" s="210" t="n">
        <x:f>IF(A14="","",COUNT(B14:T14))</x:f>
        <x:v>13</x:v>
      </x:c>
    </x:row>
    <x:row r="15">
      <x:c r="A15" s="47" t="str">
        <x:f>IF('Placements'!A15="","",'Placements'!A15)</x:f>
        <x:v>AcroAce</x:v>
      </x:c>
      <x:c r="B15" s="153" t="n">
        <x:f>IF('Placements'!B15="","",IFERROR(VLOOKUP(MIN('Placements'!B15,9),'Scoring Reference'!$A$3:$B$11,2,FALSE),0))</x:f>
        <x:v>30</x:v>
      </x:c>
      <x:c r="C15" s="154" t="str">
        <x:f>IF('Placements'!C15="","",IFERROR(VLOOKUP(MIN('Placements'!C15,9),'Scoring Reference'!$A$3:$B$11,2,FALSE),0))</x:f>
      </x:c>
      <x:c r="D15" s="154" t="n">
        <x:f>IF('Placements'!D15="","",IFERROR(VLOOKUP(MIN('Placements'!D15,9),'Scoring Reference'!$A$3:$B$11,2,FALSE),0))</x:f>
        <x:v>85</x:v>
      </x:c>
      <x:c r="E15" s="154" t="n">
        <x:f>IF('Placements'!E15="","",IFERROR(VLOOKUP(MIN('Placements'!E15,9),'Scoring Reference'!$A$3:$B$11,2,FALSE),0))</x:f>
        <x:v>35</x:v>
      </x:c>
      <x:c r="F15" s="154" t="n">
        <x:f>IF('Placements'!F15="","",IFERROR(VLOOKUP(MIN('Placements'!F15,9),'Scoring Reference'!$A$3:$B$11,2,FALSE),0))</x:f>
        <x:v>35</x:v>
      </x:c>
      <x:c r="G15" s="154" t="n">
        <x:f>IF('Placements'!G15="","",IFERROR(VLOOKUP(MIN('Placements'!G15,9),'Scoring Reference'!$A$3:$B$11,2,FALSE),0))</x:f>
        <x:v>30</x:v>
      </x:c>
      <x:c r="H15" s="154" t="n">
        <x:f>IF('Placements'!H15="","",IFERROR(VLOOKUP(MIN('Placements'!H15,9),'Scoring Reference'!$A$3:$B$11,2,FALSE),0))</x:f>
        <x:v>30</x:v>
      </x:c>
      <x:c r="I15" s="154" t="n">
        <x:f>IF('Placements'!I15="","",IFERROR(VLOOKUP(MIN('Placements'!I15,9),'Scoring Reference'!$A$3:$B$11,2,FALSE),0))</x:f>
        <x:v>85</x:v>
      </x:c>
      <x:c r="J15" s="154" t="n">
        <x:f>IF('Placements'!J15="","",IFERROR(VLOOKUP(MIN('Placements'!J15,9),'Scoring Reference'!$A$3:$B$11,2,FALSE),0))</x:f>
        <x:v>85</x:v>
      </x:c>
      <x:c r="K15" s="154" t="str">
        <x:f>IF('Placements'!K15="","",IFERROR(VLOOKUP(MIN('Placements'!K15,9),'Scoring Reference'!$A$3:$B$11,2,FALSE),0))</x:f>
      </x:c>
      <x:c r="L15" s="154" t="n">
        <x:f>IF('Placements'!L15="","",IFERROR(VLOOKUP(MIN('Placements'!L15,9),'Scoring Reference'!$A$3:$B$11,2,FALSE),0))</x:f>
        <x:v>60</x:v>
      </x:c>
      <x:c r="M15" s="154" t="str">
        <x:f>IF('Placements'!M15="","",IFERROR(VLOOKUP(MIN('Placements'!M15,9),'Scoring Reference'!$A$3:$B$11,2,FALSE),0))</x:f>
      </x:c>
      <x:c r="N15" s="154" t="n">
        <x:f>IF('Placements'!N15="","",IFERROR(VLOOKUP(MIN('Placements'!N15,9),'Scoring Reference'!$A$3:$B$11,2,FALSE),0))</x:f>
        <x:v>40</x:v>
      </x:c>
      <x:c r="O15" s="154" t="str">
        <x:f>IF('Placements'!O15="","",IFERROR(VLOOKUP(MIN('Placements'!O15,9),'Scoring Reference'!$A$3:$B$11,2,FALSE),0))</x:f>
      </x:c>
      <x:c r="P15" s="154" t="n">
        <x:f>IF('Placements'!P15="","",IFERROR(VLOOKUP(MIN('Placements'!P15,9),'Scoring Reference'!$A$3:$B$11,2,FALSE),0))</x:f>
        <x:v>60</x:v>
      </x:c>
      <x:c r="Q15" s="154" t="n">
        <x:f>IF('Placements'!Q15="","",IFERROR(VLOOKUP(MIN('Placements'!Q15,9),'Scoring Reference'!$A$3:$B$11,2,FALSE),0))</x:f>
        <x:v>50</x:v>
      </x:c>
      <x:c r="R15" s="154" t="str">
        <x:f>IF('Placements'!R15="","",IFERROR(VLOOKUP(MIN('Placements'!R15,9),'Scoring Reference'!$A$3:$B$11,2,FALSE),0))</x:f>
      </x:c>
      <x:c r="S15" s="154" t="n">
        <x:f>IF('Placements'!S15="","",IFERROR(VLOOKUP(MIN('Placements'!S15,9),'Scoring Reference'!$A$3:$B$11,2,FALSE),0))</x:f>
        <x:v>40</x:v>
      </x:c>
      <x:c r="T15" s="155" t="str">
        <x:f>IF('Placements'!T15="","",IFERROR(VLOOKUP(MIN('Placements'!T15,9),'Scoring Reference'!$A$3:$B$11,2,FALSE),0))</x:f>
      </x:c>
      <x:c r="U15" s="208" t="n">
        <x:f>IF(A15="","",SUM(B15:T15))</x:f>
        <x:v>665</x:v>
      </x:c>
      <x:c r="V15" s="209" t="n">
        <x:f>IF(A15="","",1+IF($U$5&gt;U15,1,0)+IF($U$6&gt;U15,1,0)+IF($U$7&gt;U15,1,0)+IF($U$8&gt;U15,1,0)+IF($U$9&gt;U15,1,0)+IF($U$10&gt;U15,1,0)+IF($U$11&gt;U15,1,0)+IF($U$12&gt;U15,1,0)+IF($U$13&gt;U15,1,0)+IF($U$14&gt;U15,1,0)+IF($U$15&gt;U15,1,0)+IF($U$16&gt;U15,1,0)+IF($U$17&gt;U15,1,0)+IF($U$18&gt;U15,1,0)+IF($U$19&gt;U15,1,0)+IF($U$20&gt;U15,1,0)+IF($U$21&gt;U15,1,0)+IF($U$22&gt;U15,1,0)+IF($U$23&gt;U15,1,0)+IF($U$24&gt;U15,1,0)+IF($U$25&gt;U15,1,0)+IF($U$26&gt;U15,1,0)+IF($U$27&gt;U15,1,0)+IF($U$28&gt;U15,1,0)+IF($U$29&gt;U15,1,0)+IF($U$30&gt;U15,1,0)+IF($U$31&gt;U15,1,0)+IF($U$32&gt;U15,1,0)+IF($U$33&gt;U15,1,0)+IF($U$34&gt;U15,1,0)+IF($U$35&gt;U15,1,0)+IF($U$36&gt;U15,1,0))</x:f>
        <x:v>12</x:v>
      </x:c>
      <x:c r="W15" s="210" t="n">
        <x:f>IF(A15="","",COUNT(B15:T15))</x:f>
        <x:v>13</x:v>
      </x:c>
    </x:row>
    <x:row r="16">
      <x:c r="A16" s="47" t="str">
        <x:f>IF('Placements'!A16="","",'Placements'!A16)</x:f>
        <x:v>TimeTraveler</x:v>
      </x:c>
      <x:c r="B16" s="153" t="n">
        <x:f>IF('Placements'!B16="","",IFERROR(VLOOKUP(MIN('Placements'!B16,9),'Scoring Reference'!$A$3:$B$11,2,FALSE),0))</x:f>
        <x:v>50</x:v>
      </x:c>
      <x:c r="C16" s="154" t="n">
        <x:f>IF('Placements'!C16="","",IFERROR(VLOOKUP(MIN('Placements'!C16,9),'Scoring Reference'!$A$3:$B$11,2,FALSE),0))</x:f>
        <x:v>40</x:v>
      </x:c>
      <x:c r="D16" s="154" t="str">
        <x:f>IF('Placements'!D16="","",IFERROR(VLOOKUP(MIN('Placements'!D16,9),'Scoring Reference'!$A$3:$B$11,2,FALSE),0))</x:f>
      </x:c>
      <x:c r="E16" s="154" t="n">
        <x:f>IF('Placements'!E16="","",IFERROR(VLOOKUP(MIN('Placements'!E16,9),'Scoring Reference'!$A$3:$B$11,2,FALSE),0))</x:f>
        <x:v>75</x:v>
      </x:c>
      <x:c r="F16" s="154" t="n">
        <x:f>IF('Placements'!F16="","",IFERROR(VLOOKUP(MIN('Placements'!F16,9),'Scoring Reference'!$A$3:$B$11,2,FALSE),0))</x:f>
        <x:v>30</x:v>
      </x:c>
      <x:c r="G16" s="154" t="n">
        <x:f>IF('Placements'!G16="","",IFERROR(VLOOKUP(MIN('Placements'!G16,9),'Scoring Reference'!$A$3:$B$11,2,FALSE),0))</x:f>
        <x:v>85</x:v>
      </x:c>
      <x:c r="H16" s="154" t="n">
        <x:f>IF('Placements'!H16="","",IFERROR(VLOOKUP(MIN('Placements'!H16,9),'Scoring Reference'!$A$3:$B$11,2,FALSE),0))</x:f>
        <x:v>40</x:v>
      </x:c>
      <x:c r="I16" s="154" t="n">
        <x:f>IF('Placements'!I16="","",IFERROR(VLOOKUP(MIN('Placements'!I16,9),'Scoring Reference'!$A$3:$B$11,2,FALSE),0))</x:f>
        <x:v>50</x:v>
      </x:c>
      <x:c r="J16" s="154" t="n">
        <x:f>IF('Placements'!J16="","",IFERROR(VLOOKUP(MIN('Placements'!J16,9),'Scoring Reference'!$A$3:$B$11,2,FALSE),0))</x:f>
        <x:v>30</x:v>
      </x:c>
      <x:c r="K16" s="154" t="str">
        <x:f>IF('Placements'!K16="","",IFERROR(VLOOKUP(MIN('Placements'!K16,9),'Scoring Reference'!$A$3:$B$11,2,FALSE),0))</x:f>
      </x:c>
      <x:c r="L16" s="154" t="n">
        <x:f>IF('Placements'!L16="","",IFERROR(VLOOKUP(MIN('Placements'!L16,9),'Scoring Reference'!$A$3:$B$11,2,FALSE),0))</x:f>
        <x:v>100</x:v>
      </x:c>
      <x:c r="M16" s="154" t="n">
        <x:f>IF('Placements'!M16="","",IFERROR(VLOOKUP(MIN('Placements'!M16,9),'Scoring Reference'!$A$3:$B$11,2,FALSE),0))</x:f>
        <x:v>40</x:v>
      </x:c>
      <x:c r="N16" s="154" t="str">
        <x:f>IF('Placements'!N16="","",IFERROR(VLOOKUP(MIN('Placements'!N16,9),'Scoring Reference'!$A$3:$B$11,2,FALSE),0))</x:f>
      </x:c>
      <x:c r="O16" s="154" t="n">
        <x:f>IF('Placements'!O16="","",IFERROR(VLOOKUP(MIN('Placements'!O16,9),'Scoring Reference'!$A$3:$B$11,2,FALSE),0))</x:f>
        <x:v>40</x:v>
      </x:c>
      <x:c r="P16" s="154" t="n">
        <x:f>IF('Placements'!P16="","",IFERROR(VLOOKUP(MIN('Placements'!P16,9),'Scoring Reference'!$A$3:$B$11,2,FALSE),0))</x:f>
        <x:v>50</x:v>
      </x:c>
      <x:c r="Q16" s="154" t="str">
        <x:f>IF('Placements'!Q16="","",IFERROR(VLOOKUP(MIN('Placements'!Q16,9),'Scoring Reference'!$A$3:$B$11,2,FALSE),0))</x:f>
      </x:c>
      <x:c r="R16" s="154" t="n">
        <x:f>IF('Placements'!R16="","",IFERROR(VLOOKUP(MIN('Placements'!R16,9),'Scoring Reference'!$A$3:$B$11,2,FALSE),0))</x:f>
        <x:v>30</x:v>
      </x:c>
      <x:c r="S16" s="154" t="str">
        <x:f>IF('Placements'!S16="","",IFERROR(VLOOKUP(MIN('Placements'!S16,9),'Scoring Reference'!$A$3:$B$11,2,FALSE),0))</x:f>
      </x:c>
      <x:c r="T16" s="155" t="n">
        <x:f>IF('Placements'!T16="","",IFERROR(VLOOKUP(MIN('Placements'!T16,9),'Scoring Reference'!$A$3:$B$11,2,FALSE),0))</x:f>
        <x:v>75</x:v>
      </x:c>
      <x:c r="U16" s="208" t="n">
        <x:f>IF(A16="","",SUM(B16:T16))</x:f>
        <x:v>735</x:v>
      </x:c>
      <x:c r="V16" s="209" t="n">
        <x:f>IF(A16="","",1+IF($U$5&gt;U16,1,0)+IF($U$6&gt;U16,1,0)+IF($U$7&gt;U16,1,0)+IF($U$8&gt;U16,1,0)+IF($U$9&gt;U16,1,0)+IF($U$10&gt;U16,1,0)+IF($U$11&gt;U16,1,0)+IF($U$12&gt;U16,1,0)+IF($U$13&gt;U16,1,0)+IF($U$14&gt;U16,1,0)+IF($U$15&gt;U16,1,0)+IF($U$16&gt;U16,1,0)+IF($U$17&gt;U16,1,0)+IF($U$18&gt;U16,1,0)+IF($U$19&gt;U16,1,0)+IF($U$20&gt;U16,1,0)+IF($U$21&gt;U16,1,0)+IF($U$22&gt;U16,1,0)+IF($U$23&gt;U16,1,0)+IF($U$24&gt;U16,1,0)+IF($U$25&gt;U16,1,0)+IF($U$26&gt;U16,1,0)+IF($U$27&gt;U16,1,0)+IF($U$28&gt;U16,1,0)+IF($U$29&gt;U16,1,0)+IF($U$30&gt;U16,1,0)+IF($U$31&gt;U16,1,0)+IF($U$32&gt;U16,1,0)+IF($U$33&gt;U16,1,0)+IF($U$34&gt;U16,1,0)+IF($U$35&gt;U16,1,0)+IF($U$36&gt;U16,1,0))</x:f>
        <x:v>9</x:v>
      </x:c>
      <x:c r="W16" s="210" t="n">
        <x:f>IF(A16="","",COUNT(B16:T16))</x:f>
        <x:v>14</x:v>
      </x:c>
    </x:row>
    <x:row r="17">
      <x:c r="A17" s="47" t="str">
        <x:f>IF('Placements'!A17="","",'Placements'!A17)</x:f>
      </x:c>
      <x:c r="B17" s="153" t="str">
        <x:f>IF('Placements'!B17="","",IFERROR(VLOOKUP(MIN('Placements'!B17,9),'Scoring Reference'!$A$3:$B$11,2,FALSE),0))</x:f>
      </x:c>
      <x:c r="C17" s="154" t="str">
        <x:f>IF('Placements'!C17="","",IFERROR(VLOOKUP(MIN('Placements'!C17,9),'Scoring Reference'!$A$3:$B$11,2,FALSE),0))</x:f>
      </x:c>
      <x:c r="D17" s="154" t="str">
        <x:f>IF('Placements'!D17="","",IFERROR(VLOOKUP(MIN('Placements'!D17,9),'Scoring Reference'!$A$3:$B$11,2,FALSE),0))</x:f>
      </x:c>
      <x:c r="E17" s="154" t="str">
        <x:f>IF('Placements'!E17="","",IFERROR(VLOOKUP(MIN('Placements'!E17,9),'Scoring Reference'!$A$3:$B$11,2,FALSE),0))</x:f>
      </x:c>
      <x:c r="F17" s="154" t="str">
        <x:f>IF('Placements'!F17="","",IFERROR(VLOOKUP(MIN('Placements'!F17,9),'Scoring Reference'!$A$3:$B$11,2,FALSE),0))</x:f>
      </x:c>
      <x:c r="G17" s="154" t="str">
        <x:f>IF('Placements'!G17="","",IFERROR(VLOOKUP(MIN('Placements'!G17,9),'Scoring Reference'!$A$3:$B$11,2,FALSE),0))</x:f>
      </x:c>
      <x:c r="H17" s="154" t="str">
        <x:f>IF('Placements'!H17="","",IFERROR(VLOOKUP(MIN('Placements'!H17,9),'Scoring Reference'!$A$3:$B$11,2,FALSE),0))</x:f>
      </x:c>
      <x:c r="I17" s="154" t="str">
        <x:f>IF('Placements'!I17="","",IFERROR(VLOOKUP(MIN('Placements'!I17,9),'Scoring Reference'!$A$3:$B$11,2,FALSE),0))</x:f>
      </x:c>
      <x:c r="J17" s="154" t="str">
        <x:f>IF('Placements'!J17="","",IFERROR(VLOOKUP(MIN('Placements'!J17,9),'Scoring Reference'!$A$3:$B$11,2,FALSE),0))</x:f>
      </x:c>
      <x:c r="K17" s="154" t="str">
        <x:f>IF('Placements'!K17="","",IFERROR(VLOOKUP(MIN('Placements'!K17,9),'Scoring Reference'!$A$3:$B$11,2,FALSE),0))</x:f>
      </x:c>
      <x:c r="L17" s="154" t="str">
        <x:f>IF('Placements'!L17="","",IFERROR(VLOOKUP(MIN('Placements'!L17,9),'Scoring Reference'!$A$3:$B$11,2,FALSE),0))</x:f>
      </x:c>
      <x:c r="M17" s="154" t="str">
        <x:f>IF('Placements'!M17="","",IFERROR(VLOOKUP(MIN('Placements'!M17,9),'Scoring Reference'!$A$3:$B$11,2,FALSE),0))</x:f>
      </x:c>
      <x:c r="N17" s="154" t="str">
        <x:f>IF('Placements'!N17="","",IFERROR(VLOOKUP(MIN('Placements'!N17,9),'Scoring Reference'!$A$3:$B$11,2,FALSE),0))</x:f>
      </x:c>
      <x:c r="O17" s="154" t="str">
        <x:f>IF('Placements'!O17="","",IFERROR(VLOOKUP(MIN('Placements'!O17,9),'Scoring Reference'!$A$3:$B$11,2,FALSE),0))</x:f>
      </x:c>
      <x:c r="P17" s="154" t="str">
        <x:f>IF('Placements'!P17="","",IFERROR(VLOOKUP(MIN('Placements'!P17,9),'Scoring Reference'!$A$3:$B$11,2,FALSE),0))</x:f>
      </x:c>
      <x:c r="Q17" s="154" t="str">
        <x:f>IF('Placements'!Q17="","",IFERROR(VLOOKUP(MIN('Placements'!Q17,9),'Scoring Reference'!$A$3:$B$11,2,FALSE),0))</x:f>
      </x:c>
      <x:c r="R17" s="154" t="str">
        <x:f>IF('Placements'!R17="","",IFERROR(VLOOKUP(MIN('Placements'!R17,9),'Scoring Reference'!$A$3:$B$11,2,FALSE),0))</x:f>
      </x:c>
      <x:c r="S17" s="154" t="str">
        <x:f>IF('Placements'!S17="","",IFERROR(VLOOKUP(MIN('Placements'!S17,9),'Scoring Reference'!$A$3:$B$11,2,FALSE),0))</x:f>
      </x:c>
      <x:c r="T17" s="155" t="str">
        <x:f>IF('Placements'!T17="","",IFERROR(VLOOKUP(MIN('Placements'!T17,9),'Scoring Reference'!$A$3:$B$11,2,FALSE),0))</x:f>
      </x:c>
      <x:c r="U17" s="208" t="str">
        <x:f>IF(A17="","",SUM(B17:T17))</x:f>
      </x:c>
      <x:c r="V17" s="209" t="str">
        <x:f>IF(A17="","",1+IF($U$5&gt;U17,1,0)+IF($U$6&gt;U17,1,0)+IF($U$7&gt;U17,1,0)+IF($U$8&gt;U17,1,0)+IF($U$9&gt;U17,1,0)+IF($U$10&gt;U17,1,0)+IF($U$11&gt;U17,1,0)+IF($U$12&gt;U17,1,0)+IF($U$13&gt;U17,1,0)+IF($U$14&gt;U17,1,0)+IF($U$15&gt;U17,1,0)+IF($U$16&gt;U17,1,0)+IF($U$17&gt;U17,1,0)+IF($U$18&gt;U17,1,0)+IF($U$19&gt;U17,1,0)+IF($U$20&gt;U17,1,0)+IF($U$21&gt;U17,1,0)+IF($U$22&gt;U17,1,0)+IF($U$23&gt;U17,1,0)+IF($U$24&gt;U17,1,0)+IF($U$25&gt;U17,1,0)+IF($U$26&gt;U17,1,0)+IF($U$27&gt;U17,1,0)+IF($U$28&gt;U17,1,0)+IF($U$29&gt;U17,1,0)+IF($U$30&gt;U17,1,0)+IF($U$31&gt;U17,1,0)+IF($U$32&gt;U17,1,0)+IF($U$33&gt;U17,1,0)+IF($U$34&gt;U17,1,0)+IF($U$35&gt;U17,1,0)+IF($U$36&gt;U17,1,0))</x:f>
      </x:c>
      <x:c r="W17" s="210" t="str">
        <x:f>IF(A17="","",COUNT(B17:T17))</x:f>
      </x:c>
    </x:row>
    <x:row r="18">
      <x:c r="A18" s="47" t="str">
        <x:f>IF('Placements'!A18="","",'Placements'!A18)</x:f>
      </x:c>
      <x:c r="B18" s="153" t="str">
        <x:f>IF('Placements'!B18="","",IFERROR(VLOOKUP(MIN('Placements'!B18,9),'Scoring Reference'!$A$3:$B$11,2,FALSE),0))</x:f>
      </x:c>
      <x:c r="C18" s="154" t="str">
        <x:f>IF('Placements'!C18="","",IFERROR(VLOOKUP(MIN('Placements'!C18,9),'Scoring Reference'!$A$3:$B$11,2,FALSE),0))</x:f>
      </x:c>
      <x:c r="D18" s="154" t="str">
        <x:f>IF('Placements'!D18="","",IFERROR(VLOOKUP(MIN('Placements'!D18,9),'Scoring Reference'!$A$3:$B$11,2,FALSE),0))</x:f>
      </x:c>
      <x:c r="E18" s="154" t="str">
        <x:f>IF('Placements'!E18="","",IFERROR(VLOOKUP(MIN('Placements'!E18,9),'Scoring Reference'!$A$3:$B$11,2,FALSE),0))</x:f>
      </x:c>
      <x:c r="F18" s="154" t="str">
        <x:f>IF('Placements'!F18="","",IFERROR(VLOOKUP(MIN('Placements'!F18,9),'Scoring Reference'!$A$3:$B$11,2,FALSE),0))</x:f>
      </x:c>
      <x:c r="G18" s="154" t="str">
        <x:f>IF('Placements'!G18="","",IFERROR(VLOOKUP(MIN('Placements'!G18,9),'Scoring Reference'!$A$3:$B$11,2,FALSE),0))</x:f>
      </x:c>
      <x:c r="H18" s="154" t="str">
        <x:f>IF('Placements'!H18="","",IFERROR(VLOOKUP(MIN('Placements'!H18,9),'Scoring Reference'!$A$3:$B$11,2,FALSE),0))</x:f>
      </x:c>
      <x:c r="I18" s="154" t="str">
        <x:f>IF('Placements'!I18="","",IFERROR(VLOOKUP(MIN('Placements'!I18,9),'Scoring Reference'!$A$3:$B$11,2,FALSE),0))</x:f>
      </x:c>
      <x:c r="J18" s="154" t="str">
        <x:f>IF('Placements'!J18="","",IFERROR(VLOOKUP(MIN('Placements'!J18,9),'Scoring Reference'!$A$3:$B$11,2,FALSE),0))</x:f>
      </x:c>
      <x:c r="K18" s="154" t="str">
        <x:f>IF('Placements'!K18="","",IFERROR(VLOOKUP(MIN('Placements'!K18,9),'Scoring Reference'!$A$3:$B$11,2,FALSE),0))</x:f>
      </x:c>
      <x:c r="L18" s="154" t="str">
        <x:f>IF('Placements'!L18="","",IFERROR(VLOOKUP(MIN('Placements'!L18,9),'Scoring Reference'!$A$3:$B$11,2,FALSE),0))</x:f>
      </x:c>
      <x:c r="M18" s="154" t="str">
        <x:f>IF('Placements'!M18="","",IFERROR(VLOOKUP(MIN('Placements'!M18,9),'Scoring Reference'!$A$3:$B$11,2,FALSE),0))</x:f>
      </x:c>
      <x:c r="N18" s="154" t="str">
        <x:f>IF('Placements'!N18="","",IFERROR(VLOOKUP(MIN('Placements'!N18,9),'Scoring Reference'!$A$3:$B$11,2,FALSE),0))</x:f>
      </x:c>
      <x:c r="O18" s="154" t="str">
        <x:f>IF('Placements'!O18="","",IFERROR(VLOOKUP(MIN('Placements'!O18,9),'Scoring Reference'!$A$3:$B$11,2,FALSE),0))</x:f>
      </x:c>
      <x:c r="P18" s="154" t="str">
        <x:f>IF('Placements'!P18="","",IFERROR(VLOOKUP(MIN('Placements'!P18,9),'Scoring Reference'!$A$3:$B$11,2,FALSE),0))</x:f>
      </x:c>
      <x:c r="Q18" s="154" t="str">
        <x:f>IF('Placements'!Q18="","",IFERROR(VLOOKUP(MIN('Placements'!Q18,9),'Scoring Reference'!$A$3:$B$11,2,FALSE),0))</x:f>
      </x:c>
      <x:c r="R18" s="154" t="str">
        <x:f>IF('Placements'!R18="","",IFERROR(VLOOKUP(MIN('Placements'!R18,9),'Scoring Reference'!$A$3:$B$11,2,FALSE),0))</x:f>
      </x:c>
      <x:c r="S18" s="154" t="str">
        <x:f>IF('Placements'!S18="","",IFERROR(VLOOKUP(MIN('Placements'!S18,9),'Scoring Reference'!$A$3:$B$11,2,FALSE),0))</x:f>
      </x:c>
      <x:c r="T18" s="155" t="str">
        <x:f>IF('Placements'!T18="","",IFERROR(VLOOKUP(MIN('Placements'!T18,9),'Scoring Reference'!$A$3:$B$11,2,FALSE),0))</x:f>
      </x:c>
      <x:c r="U18" s="208" t="str">
        <x:f>IF(A18="","",SUM(B18:T18))</x:f>
      </x:c>
      <x:c r="V18" s="209" t="str">
        <x:f>IF(A18="","",1+IF($U$5&gt;U18,1,0)+IF($U$6&gt;U18,1,0)+IF($U$7&gt;U18,1,0)+IF($U$8&gt;U18,1,0)+IF($U$9&gt;U18,1,0)+IF($U$10&gt;U18,1,0)+IF($U$11&gt;U18,1,0)+IF($U$12&gt;U18,1,0)+IF($U$13&gt;U18,1,0)+IF($U$14&gt;U18,1,0)+IF($U$15&gt;U18,1,0)+IF($U$16&gt;U18,1,0)+IF($U$17&gt;U18,1,0)+IF($U$18&gt;U18,1,0)+IF($U$19&gt;U18,1,0)+IF($U$20&gt;U18,1,0)+IF($U$21&gt;U18,1,0)+IF($U$22&gt;U18,1,0)+IF($U$23&gt;U18,1,0)+IF($U$24&gt;U18,1,0)+IF($U$25&gt;U18,1,0)+IF($U$26&gt;U18,1,0)+IF($U$27&gt;U18,1,0)+IF($U$28&gt;U18,1,0)+IF($U$29&gt;U18,1,0)+IF($U$30&gt;U18,1,0)+IF($U$31&gt;U18,1,0)+IF($U$32&gt;U18,1,0)+IF($U$33&gt;U18,1,0)+IF($U$34&gt;U18,1,0)+IF($U$35&gt;U18,1,0)+IF($U$36&gt;U18,1,0))</x:f>
      </x:c>
      <x:c r="W18" s="210" t="str">
        <x:f>IF(A18="","",COUNT(B18:T18))</x:f>
      </x:c>
    </x:row>
    <x:row r="19">
      <x:c r="A19" s="47" t="str">
        <x:f>IF('Placements'!A19="","",'Placements'!A19)</x:f>
      </x:c>
      <x:c r="B19" s="153" t="str">
        <x:f>IF('Placements'!B19="","",IFERROR(VLOOKUP(MIN('Placements'!B19,9),'Scoring Reference'!$A$3:$B$11,2,FALSE),0))</x:f>
      </x:c>
      <x:c r="C19" s="154" t="str">
        <x:f>IF('Placements'!C19="","",IFERROR(VLOOKUP(MIN('Placements'!C19,9),'Scoring Reference'!$A$3:$B$11,2,FALSE),0))</x:f>
      </x:c>
      <x:c r="D19" s="154" t="str">
        <x:f>IF('Placements'!D19="","",IFERROR(VLOOKUP(MIN('Placements'!D19,9),'Scoring Reference'!$A$3:$B$11,2,FALSE),0))</x:f>
      </x:c>
      <x:c r="E19" s="154" t="str">
        <x:f>IF('Placements'!E19="","",IFERROR(VLOOKUP(MIN('Placements'!E19,9),'Scoring Reference'!$A$3:$B$11,2,FALSE),0))</x:f>
      </x:c>
      <x:c r="F19" s="154" t="str">
        <x:f>IF('Placements'!F19="","",IFERROR(VLOOKUP(MIN('Placements'!F19,9),'Scoring Reference'!$A$3:$B$11,2,FALSE),0))</x:f>
      </x:c>
      <x:c r="G19" s="154" t="str">
        <x:f>IF('Placements'!G19="","",IFERROR(VLOOKUP(MIN('Placements'!G19,9),'Scoring Reference'!$A$3:$B$11,2,FALSE),0))</x:f>
      </x:c>
      <x:c r="H19" s="154" t="str">
        <x:f>IF('Placements'!H19="","",IFERROR(VLOOKUP(MIN('Placements'!H19,9),'Scoring Reference'!$A$3:$B$11,2,FALSE),0))</x:f>
      </x:c>
      <x:c r="I19" s="154" t="str">
        <x:f>IF('Placements'!I19="","",IFERROR(VLOOKUP(MIN('Placements'!I19,9),'Scoring Reference'!$A$3:$B$11,2,FALSE),0))</x:f>
      </x:c>
      <x:c r="J19" s="154" t="str">
        <x:f>IF('Placements'!J19="","",IFERROR(VLOOKUP(MIN('Placements'!J19,9),'Scoring Reference'!$A$3:$B$11,2,FALSE),0))</x:f>
      </x:c>
      <x:c r="K19" s="154" t="str">
        <x:f>IF('Placements'!K19="","",IFERROR(VLOOKUP(MIN('Placements'!K19,9),'Scoring Reference'!$A$3:$B$11,2,FALSE),0))</x:f>
      </x:c>
      <x:c r="L19" s="154" t="str">
        <x:f>IF('Placements'!L19="","",IFERROR(VLOOKUP(MIN('Placements'!L19,9),'Scoring Reference'!$A$3:$B$11,2,FALSE),0))</x:f>
      </x:c>
      <x:c r="M19" s="154" t="str">
        <x:f>IF('Placements'!M19="","",IFERROR(VLOOKUP(MIN('Placements'!M19,9),'Scoring Reference'!$A$3:$B$11,2,FALSE),0))</x:f>
      </x:c>
      <x:c r="N19" s="154" t="str">
        <x:f>IF('Placements'!N19="","",IFERROR(VLOOKUP(MIN('Placements'!N19,9),'Scoring Reference'!$A$3:$B$11,2,FALSE),0))</x:f>
      </x:c>
      <x:c r="O19" s="154" t="str">
        <x:f>IF('Placements'!O19="","",IFERROR(VLOOKUP(MIN('Placements'!O19,9),'Scoring Reference'!$A$3:$B$11,2,FALSE),0))</x:f>
      </x:c>
      <x:c r="P19" s="154" t="str">
        <x:f>IF('Placements'!P19="","",IFERROR(VLOOKUP(MIN('Placements'!P19,9),'Scoring Reference'!$A$3:$B$11,2,FALSE),0))</x:f>
      </x:c>
      <x:c r="Q19" s="154" t="str">
        <x:f>IF('Placements'!Q19="","",IFERROR(VLOOKUP(MIN('Placements'!Q19,9),'Scoring Reference'!$A$3:$B$11,2,FALSE),0))</x:f>
      </x:c>
      <x:c r="R19" s="154" t="str">
        <x:f>IF('Placements'!R19="","",IFERROR(VLOOKUP(MIN('Placements'!R19,9),'Scoring Reference'!$A$3:$B$11,2,FALSE),0))</x:f>
      </x:c>
      <x:c r="S19" s="154" t="str">
        <x:f>IF('Placements'!S19="","",IFERROR(VLOOKUP(MIN('Placements'!S19,9),'Scoring Reference'!$A$3:$B$11,2,FALSE),0))</x:f>
      </x:c>
      <x:c r="T19" s="155" t="str">
        <x:f>IF('Placements'!T19="","",IFERROR(VLOOKUP(MIN('Placements'!T19,9),'Scoring Reference'!$A$3:$B$11,2,FALSE),0))</x:f>
      </x:c>
      <x:c r="U19" s="208" t="str">
        <x:f>IF(A19="","",SUM(B19:T19))</x:f>
      </x:c>
      <x:c r="V19" s="209" t="str">
        <x:f>IF(A19="","",1+IF($U$5&gt;U19,1,0)+IF($U$6&gt;U19,1,0)+IF($U$7&gt;U19,1,0)+IF($U$8&gt;U19,1,0)+IF($U$9&gt;U19,1,0)+IF($U$10&gt;U19,1,0)+IF($U$11&gt;U19,1,0)+IF($U$12&gt;U19,1,0)+IF($U$13&gt;U19,1,0)+IF($U$14&gt;U19,1,0)+IF($U$15&gt;U19,1,0)+IF($U$16&gt;U19,1,0)+IF($U$17&gt;U19,1,0)+IF($U$18&gt;U19,1,0)+IF($U$19&gt;U19,1,0)+IF($U$20&gt;U19,1,0)+IF($U$21&gt;U19,1,0)+IF($U$22&gt;U19,1,0)+IF($U$23&gt;U19,1,0)+IF($U$24&gt;U19,1,0)+IF($U$25&gt;U19,1,0)+IF($U$26&gt;U19,1,0)+IF($U$27&gt;U19,1,0)+IF($U$28&gt;U19,1,0)+IF($U$29&gt;U19,1,0)+IF($U$30&gt;U19,1,0)+IF($U$31&gt;U19,1,0)+IF($U$32&gt;U19,1,0)+IF($U$33&gt;U19,1,0)+IF($U$34&gt;U19,1,0)+IF($U$35&gt;U19,1,0)+IF($U$36&gt;U19,1,0))</x:f>
      </x:c>
      <x:c r="W19" s="210" t="str">
        <x:f>IF(A19="","",COUNT(B19:T19))</x:f>
      </x:c>
    </x:row>
    <x:row r="20">
      <x:c r="A20" s="47" t="str">
        <x:f>IF('Placements'!A20="","",'Placements'!A20)</x:f>
      </x:c>
      <x:c r="B20" s="153" t="str">
        <x:f>IF('Placements'!B20="","",IFERROR(VLOOKUP(MIN('Placements'!B20,9),'Scoring Reference'!$A$3:$B$11,2,FALSE),0))</x:f>
      </x:c>
      <x:c r="C20" s="154" t="str">
        <x:f>IF('Placements'!C20="","",IFERROR(VLOOKUP(MIN('Placements'!C20,9),'Scoring Reference'!$A$3:$B$11,2,FALSE),0))</x:f>
      </x:c>
      <x:c r="D20" s="154" t="str">
        <x:f>IF('Placements'!D20="","",IFERROR(VLOOKUP(MIN('Placements'!D20,9),'Scoring Reference'!$A$3:$B$11,2,FALSE),0))</x:f>
      </x:c>
      <x:c r="E20" s="154" t="str">
        <x:f>IF('Placements'!E20="","",IFERROR(VLOOKUP(MIN('Placements'!E20,9),'Scoring Reference'!$A$3:$B$11,2,FALSE),0))</x:f>
      </x:c>
      <x:c r="F20" s="154" t="str">
        <x:f>IF('Placements'!F20="","",IFERROR(VLOOKUP(MIN('Placements'!F20,9),'Scoring Reference'!$A$3:$B$11,2,FALSE),0))</x:f>
      </x:c>
      <x:c r="G20" s="154" t="str">
        <x:f>IF('Placements'!G20="","",IFERROR(VLOOKUP(MIN('Placements'!G20,9),'Scoring Reference'!$A$3:$B$11,2,FALSE),0))</x:f>
      </x:c>
      <x:c r="H20" s="154" t="str">
        <x:f>IF('Placements'!H20="","",IFERROR(VLOOKUP(MIN('Placements'!H20,9),'Scoring Reference'!$A$3:$B$11,2,FALSE),0))</x:f>
      </x:c>
      <x:c r="I20" s="154" t="str">
        <x:f>IF('Placements'!I20="","",IFERROR(VLOOKUP(MIN('Placements'!I20,9),'Scoring Reference'!$A$3:$B$11,2,FALSE),0))</x:f>
      </x:c>
      <x:c r="J20" s="154" t="str">
        <x:f>IF('Placements'!J20="","",IFERROR(VLOOKUP(MIN('Placements'!J20,9),'Scoring Reference'!$A$3:$B$11,2,FALSE),0))</x:f>
      </x:c>
      <x:c r="K20" s="154" t="str">
        <x:f>IF('Placements'!K20="","",IFERROR(VLOOKUP(MIN('Placements'!K20,9),'Scoring Reference'!$A$3:$B$11,2,FALSE),0))</x:f>
      </x:c>
      <x:c r="L20" s="154" t="str">
        <x:f>IF('Placements'!L20="","",IFERROR(VLOOKUP(MIN('Placements'!L20,9),'Scoring Reference'!$A$3:$B$11,2,FALSE),0))</x:f>
      </x:c>
      <x:c r="M20" s="154" t="str">
        <x:f>IF('Placements'!M20="","",IFERROR(VLOOKUP(MIN('Placements'!M20,9),'Scoring Reference'!$A$3:$B$11,2,FALSE),0))</x:f>
      </x:c>
      <x:c r="N20" s="154" t="str">
        <x:f>IF('Placements'!N20="","",IFERROR(VLOOKUP(MIN('Placements'!N20,9),'Scoring Reference'!$A$3:$B$11,2,FALSE),0))</x:f>
      </x:c>
      <x:c r="O20" s="154" t="str">
        <x:f>IF('Placements'!O20="","",IFERROR(VLOOKUP(MIN('Placements'!O20,9),'Scoring Reference'!$A$3:$B$11,2,FALSE),0))</x:f>
      </x:c>
      <x:c r="P20" s="154" t="str">
        <x:f>IF('Placements'!P20="","",IFERROR(VLOOKUP(MIN('Placements'!P20,9),'Scoring Reference'!$A$3:$B$11,2,FALSE),0))</x:f>
      </x:c>
      <x:c r="Q20" s="154" t="str">
        <x:f>IF('Placements'!Q20="","",IFERROR(VLOOKUP(MIN('Placements'!Q20,9),'Scoring Reference'!$A$3:$B$11,2,FALSE),0))</x:f>
      </x:c>
      <x:c r="R20" s="154" t="str">
        <x:f>IF('Placements'!R20="","",IFERROR(VLOOKUP(MIN('Placements'!R20,9),'Scoring Reference'!$A$3:$B$11,2,FALSE),0))</x:f>
      </x:c>
      <x:c r="S20" s="154" t="str">
        <x:f>IF('Placements'!S20="","",IFERROR(VLOOKUP(MIN('Placements'!S20,9),'Scoring Reference'!$A$3:$B$11,2,FALSE),0))</x:f>
      </x:c>
      <x:c r="T20" s="155" t="str">
        <x:f>IF('Placements'!T20="","",IFERROR(VLOOKUP(MIN('Placements'!T20,9),'Scoring Reference'!$A$3:$B$11,2,FALSE),0))</x:f>
      </x:c>
      <x:c r="U20" s="208" t="str">
        <x:f>IF(A20="","",SUM(B20:T20))</x:f>
      </x:c>
      <x:c r="V20" s="209" t="str">
        <x:f>IF(A20="","",1+IF($U$5&gt;U20,1,0)+IF($U$6&gt;U20,1,0)+IF($U$7&gt;U20,1,0)+IF($U$8&gt;U20,1,0)+IF($U$9&gt;U20,1,0)+IF($U$10&gt;U20,1,0)+IF($U$11&gt;U20,1,0)+IF($U$12&gt;U20,1,0)+IF($U$13&gt;U20,1,0)+IF($U$14&gt;U20,1,0)+IF($U$15&gt;U20,1,0)+IF($U$16&gt;U20,1,0)+IF($U$17&gt;U20,1,0)+IF($U$18&gt;U20,1,0)+IF($U$19&gt;U20,1,0)+IF($U$20&gt;U20,1,0)+IF($U$21&gt;U20,1,0)+IF($U$22&gt;U20,1,0)+IF($U$23&gt;U20,1,0)+IF($U$24&gt;U20,1,0)+IF($U$25&gt;U20,1,0)+IF($U$26&gt;U20,1,0)+IF($U$27&gt;U20,1,0)+IF($U$28&gt;U20,1,0)+IF($U$29&gt;U20,1,0)+IF($U$30&gt;U20,1,0)+IF($U$31&gt;U20,1,0)+IF($U$32&gt;U20,1,0)+IF($U$33&gt;U20,1,0)+IF($U$34&gt;U20,1,0)+IF($U$35&gt;U20,1,0)+IF($U$36&gt;U20,1,0))</x:f>
      </x:c>
      <x:c r="W20" s="210" t="str">
        <x:f>IF(A20="","",COUNT(B20:T20))</x:f>
      </x:c>
    </x:row>
    <x:row r="21">
      <x:c r="A21" s="47" t="str">
        <x:f>IF('Placements'!A21="","",'Placements'!A21)</x:f>
      </x:c>
      <x:c r="B21" s="153" t="str">
        <x:f>IF('Placements'!B21="","",IFERROR(VLOOKUP(MIN('Placements'!B21,9),'Scoring Reference'!$A$3:$B$11,2,FALSE),0))</x:f>
      </x:c>
      <x:c r="C21" s="154" t="str">
        <x:f>IF('Placements'!C21="","",IFERROR(VLOOKUP(MIN('Placements'!C21,9),'Scoring Reference'!$A$3:$B$11,2,FALSE),0))</x:f>
      </x:c>
      <x:c r="D21" s="154" t="str">
        <x:f>IF('Placements'!D21="","",IFERROR(VLOOKUP(MIN('Placements'!D21,9),'Scoring Reference'!$A$3:$B$11,2,FALSE),0))</x:f>
      </x:c>
      <x:c r="E21" s="154" t="str">
        <x:f>IF('Placements'!E21="","",IFERROR(VLOOKUP(MIN('Placements'!E21,9),'Scoring Reference'!$A$3:$B$11,2,FALSE),0))</x:f>
      </x:c>
      <x:c r="F21" s="154" t="str">
        <x:f>IF('Placements'!F21="","",IFERROR(VLOOKUP(MIN('Placements'!F21,9),'Scoring Reference'!$A$3:$B$11,2,FALSE),0))</x:f>
      </x:c>
      <x:c r="G21" s="154" t="str">
        <x:f>IF('Placements'!G21="","",IFERROR(VLOOKUP(MIN('Placements'!G21,9),'Scoring Reference'!$A$3:$B$11,2,FALSE),0))</x:f>
      </x:c>
      <x:c r="H21" s="154" t="str">
        <x:f>IF('Placements'!H21="","",IFERROR(VLOOKUP(MIN('Placements'!H21,9),'Scoring Reference'!$A$3:$B$11,2,FALSE),0))</x:f>
      </x:c>
      <x:c r="I21" s="154" t="str">
        <x:f>IF('Placements'!I21="","",IFERROR(VLOOKUP(MIN('Placements'!I21,9),'Scoring Reference'!$A$3:$B$11,2,FALSE),0))</x:f>
      </x:c>
      <x:c r="J21" s="154" t="str">
        <x:f>IF('Placements'!J21="","",IFERROR(VLOOKUP(MIN('Placements'!J21,9),'Scoring Reference'!$A$3:$B$11,2,FALSE),0))</x:f>
      </x:c>
      <x:c r="K21" s="154" t="str">
        <x:f>IF('Placements'!K21="","",IFERROR(VLOOKUP(MIN('Placements'!K21,9),'Scoring Reference'!$A$3:$B$11,2,FALSE),0))</x:f>
      </x:c>
      <x:c r="L21" s="154" t="str">
        <x:f>IF('Placements'!L21="","",IFERROR(VLOOKUP(MIN('Placements'!L21,9),'Scoring Reference'!$A$3:$B$11,2,FALSE),0))</x:f>
      </x:c>
      <x:c r="M21" s="154" t="str">
        <x:f>IF('Placements'!M21="","",IFERROR(VLOOKUP(MIN('Placements'!M21,9),'Scoring Reference'!$A$3:$B$11,2,FALSE),0))</x:f>
      </x:c>
      <x:c r="N21" s="154" t="str">
        <x:f>IF('Placements'!N21="","",IFERROR(VLOOKUP(MIN('Placements'!N21,9),'Scoring Reference'!$A$3:$B$11,2,FALSE),0))</x:f>
      </x:c>
      <x:c r="O21" s="154" t="str">
        <x:f>IF('Placements'!O21="","",IFERROR(VLOOKUP(MIN('Placements'!O21,9),'Scoring Reference'!$A$3:$B$11,2,FALSE),0))</x:f>
      </x:c>
      <x:c r="P21" s="154" t="str">
        <x:f>IF('Placements'!P21="","",IFERROR(VLOOKUP(MIN('Placements'!P21,9),'Scoring Reference'!$A$3:$B$11,2,FALSE),0))</x:f>
      </x:c>
      <x:c r="Q21" s="154" t="str">
        <x:f>IF('Placements'!Q21="","",IFERROR(VLOOKUP(MIN('Placements'!Q21,9),'Scoring Reference'!$A$3:$B$11,2,FALSE),0))</x:f>
      </x:c>
      <x:c r="R21" s="154" t="str">
        <x:f>IF('Placements'!R21="","",IFERROR(VLOOKUP(MIN('Placements'!R21,9),'Scoring Reference'!$A$3:$B$11,2,FALSE),0))</x:f>
      </x:c>
      <x:c r="S21" s="154" t="str">
        <x:f>IF('Placements'!S21="","",IFERROR(VLOOKUP(MIN('Placements'!S21,9),'Scoring Reference'!$A$3:$B$11,2,FALSE),0))</x:f>
      </x:c>
      <x:c r="T21" s="155" t="str">
        <x:f>IF('Placements'!T21="","",IFERROR(VLOOKUP(MIN('Placements'!T21,9),'Scoring Reference'!$A$3:$B$11,2,FALSE),0))</x:f>
      </x:c>
      <x:c r="U21" s="208" t="str">
        <x:f>IF(A21="","",SUM(B21:T21))</x:f>
      </x:c>
      <x:c r="V21" s="209" t="str">
        <x:f>IF(A21="","",1+IF($U$5&gt;U21,1,0)+IF($U$6&gt;U21,1,0)+IF($U$7&gt;U21,1,0)+IF($U$8&gt;U21,1,0)+IF($U$9&gt;U21,1,0)+IF($U$10&gt;U21,1,0)+IF($U$11&gt;U21,1,0)+IF($U$12&gt;U21,1,0)+IF($U$13&gt;U21,1,0)+IF($U$14&gt;U21,1,0)+IF($U$15&gt;U21,1,0)+IF($U$16&gt;U21,1,0)+IF($U$17&gt;U21,1,0)+IF($U$18&gt;U21,1,0)+IF($U$19&gt;U21,1,0)+IF($U$20&gt;U21,1,0)+IF($U$21&gt;U21,1,0)+IF($U$22&gt;U21,1,0)+IF($U$23&gt;U21,1,0)+IF($U$24&gt;U21,1,0)+IF($U$25&gt;U21,1,0)+IF($U$26&gt;U21,1,0)+IF($U$27&gt;U21,1,0)+IF($U$28&gt;U21,1,0)+IF($U$29&gt;U21,1,0)+IF($U$30&gt;U21,1,0)+IF($U$31&gt;U21,1,0)+IF($U$32&gt;U21,1,0)+IF($U$33&gt;U21,1,0)+IF($U$34&gt;U21,1,0)+IF($U$35&gt;U21,1,0)+IF($U$36&gt;U21,1,0))</x:f>
      </x:c>
      <x:c r="W21" s="210" t="str">
        <x:f>IF(A21="","",COUNT(B21:T21))</x:f>
      </x:c>
    </x:row>
    <x:row r="22">
      <x:c r="A22" s="47" t="str">
        <x:f>IF('Placements'!A22="","",'Placements'!A22)</x:f>
      </x:c>
      <x:c r="B22" s="153" t="str">
        <x:f>IF('Placements'!B22="","",IFERROR(VLOOKUP(MIN('Placements'!B22,9),'Scoring Reference'!$A$3:$B$11,2,FALSE),0))</x:f>
      </x:c>
      <x:c r="C22" s="154" t="str">
        <x:f>IF('Placements'!C22="","",IFERROR(VLOOKUP(MIN('Placements'!C22,9),'Scoring Reference'!$A$3:$B$11,2,FALSE),0))</x:f>
      </x:c>
      <x:c r="D22" s="154" t="str">
        <x:f>IF('Placements'!D22="","",IFERROR(VLOOKUP(MIN('Placements'!D22,9),'Scoring Reference'!$A$3:$B$11,2,FALSE),0))</x:f>
      </x:c>
      <x:c r="E22" s="154" t="str">
        <x:f>IF('Placements'!E22="","",IFERROR(VLOOKUP(MIN('Placements'!E22,9),'Scoring Reference'!$A$3:$B$11,2,FALSE),0))</x:f>
      </x:c>
      <x:c r="F22" s="154" t="str">
        <x:f>IF('Placements'!F22="","",IFERROR(VLOOKUP(MIN('Placements'!F22,9),'Scoring Reference'!$A$3:$B$11,2,FALSE),0))</x:f>
      </x:c>
      <x:c r="G22" s="154" t="str">
        <x:f>IF('Placements'!G22="","",IFERROR(VLOOKUP(MIN('Placements'!G22,9),'Scoring Reference'!$A$3:$B$11,2,FALSE),0))</x:f>
      </x:c>
      <x:c r="H22" s="154" t="str">
        <x:f>IF('Placements'!H22="","",IFERROR(VLOOKUP(MIN('Placements'!H22,9),'Scoring Reference'!$A$3:$B$11,2,FALSE),0))</x:f>
      </x:c>
      <x:c r="I22" s="154" t="str">
        <x:f>IF('Placements'!I22="","",IFERROR(VLOOKUP(MIN('Placements'!I22,9),'Scoring Reference'!$A$3:$B$11,2,FALSE),0))</x:f>
      </x:c>
      <x:c r="J22" s="154" t="str">
        <x:f>IF('Placements'!J22="","",IFERROR(VLOOKUP(MIN('Placements'!J22,9),'Scoring Reference'!$A$3:$B$11,2,FALSE),0))</x:f>
      </x:c>
      <x:c r="K22" s="154" t="str">
        <x:f>IF('Placements'!K22="","",IFERROR(VLOOKUP(MIN('Placements'!K22,9),'Scoring Reference'!$A$3:$B$11,2,FALSE),0))</x:f>
      </x:c>
      <x:c r="L22" s="154" t="str">
        <x:f>IF('Placements'!L22="","",IFERROR(VLOOKUP(MIN('Placements'!L22,9),'Scoring Reference'!$A$3:$B$11,2,FALSE),0))</x:f>
      </x:c>
      <x:c r="M22" s="154" t="str">
        <x:f>IF('Placements'!M22="","",IFERROR(VLOOKUP(MIN('Placements'!M22,9),'Scoring Reference'!$A$3:$B$11,2,FALSE),0))</x:f>
      </x:c>
      <x:c r="N22" s="154" t="str">
        <x:f>IF('Placements'!N22="","",IFERROR(VLOOKUP(MIN('Placements'!N22,9),'Scoring Reference'!$A$3:$B$11,2,FALSE),0))</x:f>
      </x:c>
      <x:c r="O22" s="154" t="str">
        <x:f>IF('Placements'!O22="","",IFERROR(VLOOKUP(MIN('Placements'!O22,9),'Scoring Reference'!$A$3:$B$11,2,FALSE),0))</x:f>
      </x:c>
      <x:c r="P22" s="154" t="str">
        <x:f>IF('Placements'!P22="","",IFERROR(VLOOKUP(MIN('Placements'!P22,9),'Scoring Reference'!$A$3:$B$11,2,FALSE),0))</x:f>
      </x:c>
      <x:c r="Q22" s="154" t="str">
        <x:f>IF('Placements'!Q22="","",IFERROR(VLOOKUP(MIN('Placements'!Q22,9),'Scoring Reference'!$A$3:$B$11,2,FALSE),0))</x:f>
      </x:c>
      <x:c r="R22" s="154" t="str">
        <x:f>IF('Placements'!R22="","",IFERROR(VLOOKUP(MIN('Placements'!R22,9),'Scoring Reference'!$A$3:$B$11,2,FALSE),0))</x:f>
      </x:c>
      <x:c r="S22" s="154" t="str">
        <x:f>IF('Placements'!S22="","",IFERROR(VLOOKUP(MIN('Placements'!S22,9),'Scoring Reference'!$A$3:$B$11,2,FALSE),0))</x:f>
      </x:c>
      <x:c r="T22" s="155" t="str">
        <x:f>IF('Placements'!T22="","",IFERROR(VLOOKUP(MIN('Placements'!T22,9),'Scoring Reference'!$A$3:$B$11,2,FALSE),0))</x:f>
      </x:c>
      <x:c r="U22" s="208" t="str">
        <x:f>IF(A22="","",SUM(B22:T22))</x:f>
      </x:c>
      <x:c r="V22" s="209" t="str">
        <x:f>IF(A22="","",1+IF($U$5&gt;U22,1,0)+IF($U$6&gt;U22,1,0)+IF($U$7&gt;U22,1,0)+IF($U$8&gt;U22,1,0)+IF($U$9&gt;U22,1,0)+IF($U$10&gt;U22,1,0)+IF($U$11&gt;U22,1,0)+IF($U$12&gt;U22,1,0)+IF($U$13&gt;U22,1,0)+IF($U$14&gt;U22,1,0)+IF($U$15&gt;U22,1,0)+IF($U$16&gt;U22,1,0)+IF($U$17&gt;U22,1,0)+IF($U$18&gt;U22,1,0)+IF($U$19&gt;U22,1,0)+IF($U$20&gt;U22,1,0)+IF($U$21&gt;U22,1,0)+IF($U$22&gt;U22,1,0)+IF($U$23&gt;U22,1,0)+IF($U$24&gt;U22,1,0)+IF($U$25&gt;U22,1,0)+IF($U$26&gt;U22,1,0)+IF($U$27&gt;U22,1,0)+IF($U$28&gt;U22,1,0)+IF($U$29&gt;U22,1,0)+IF($U$30&gt;U22,1,0)+IF($U$31&gt;U22,1,0)+IF($U$32&gt;U22,1,0)+IF($U$33&gt;U22,1,0)+IF($U$34&gt;U22,1,0)+IF($U$35&gt;U22,1,0)+IF($U$36&gt;U22,1,0))</x:f>
      </x:c>
      <x:c r="W22" s="210" t="str">
        <x:f>IF(A22="","",COUNT(B22:T22))</x:f>
      </x:c>
    </x:row>
    <x:row r="23">
      <x:c r="A23" s="47" t="str">
        <x:f>IF('Placements'!A23="","",'Placements'!A23)</x:f>
      </x:c>
      <x:c r="B23" s="153" t="str">
        <x:f>IF('Placements'!B23="","",IFERROR(VLOOKUP(MIN('Placements'!B23,9),'Scoring Reference'!$A$3:$B$11,2,FALSE),0))</x:f>
      </x:c>
      <x:c r="C23" s="154" t="str">
        <x:f>IF('Placements'!C23="","",IFERROR(VLOOKUP(MIN('Placements'!C23,9),'Scoring Reference'!$A$3:$B$11,2,FALSE),0))</x:f>
      </x:c>
      <x:c r="D23" s="154" t="str">
        <x:f>IF('Placements'!D23="","",IFERROR(VLOOKUP(MIN('Placements'!D23,9),'Scoring Reference'!$A$3:$B$11,2,FALSE),0))</x:f>
      </x:c>
      <x:c r="E23" s="154" t="str">
        <x:f>IF('Placements'!E23="","",IFERROR(VLOOKUP(MIN('Placements'!E23,9),'Scoring Reference'!$A$3:$B$11,2,FALSE),0))</x:f>
      </x:c>
      <x:c r="F23" s="154" t="str">
        <x:f>IF('Placements'!F23="","",IFERROR(VLOOKUP(MIN('Placements'!F23,9),'Scoring Reference'!$A$3:$B$11,2,FALSE),0))</x:f>
      </x:c>
      <x:c r="G23" s="154" t="str">
        <x:f>IF('Placements'!G23="","",IFERROR(VLOOKUP(MIN('Placements'!G23,9),'Scoring Reference'!$A$3:$B$11,2,FALSE),0))</x:f>
      </x:c>
      <x:c r="H23" s="154" t="str">
        <x:f>IF('Placements'!H23="","",IFERROR(VLOOKUP(MIN('Placements'!H23,9),'Scoring Reference'!$A$3:$B$11,2,FALSE),0))</x:f>
      </x:c>
      <x:c r="I23" s="154" t="str">
        <x:f>IF('Placements'!I23="","",IFERROR(VLOOKUP(MIN('Placements'!I23,9),'Scoring Reference'!$A$3:$B$11,2,FALSE),0))</x:f>
      </x:c>
      <x:c r="J23" s="154" t="str">
        <x:f>IF('Placements'!J23="","",IFERROR(VLOOKUP(MIN('Placements'!J23,9),'Scoring Reference'!$A$3:$B$11,2,FALSE),0))</x:f>
      </x:c>
      <x:c r="K23" s="154" t="str">
        <x:f>IF('Placements'!K23="","",IFERROR(VLOOKUP(MIN('Placements'!K23,9),'Scoring Reference'!$A$3:$B$11,2,FALSE),0))</x:f>
      </x:c>
      <x:c r="L23" s="154" t="str">
        <x:f>IF('Placements'!L23="","",IFERROR(VLOOKUP(MIN('Placements'!L23,9),'Scoring Reference'!$A$3:$B$11,2,FALSE),0))</x:f>
      </x:c>
      <x:c r="M23" s="154" t="str">
        <x:f>IF('Placements'!M23="","",IFERROR(VLOOKUP(MIN('Placements'!M23,9),'Scoring Reference'!$A$3:$B$11,2,FALSE),0))</x:f>
      </x:c>
      <x:c r="N23" s="154" t="str">
        <x:f>IF('Placements'!N23="","",IFERROR(VLOOKUP(MIN('Placements'!N23,9),'Scoring Reference'!$A$3:$B$11,2,FALSE),0))</x:f>
      </x:c>
      <x:c r="O23" s="154" t="str">
        <x:f>IF('Placements'!O23="","",IFERROR(VLOOKUP(MIN('Placements'!O23,9),'Scoring Reference'!$A$3:$B$11,2,FALSE),0))</x:f>
      </x:c>
      <x:c r="P23" s="154" t="str">
        <x:f>IF('Placements'!P23="","",IFERROR(VLOOKUP(MIN('Placements'!P23,9),'Scoring Reference'!$A$3:$B$11,2,FALSE),0))</x:f>
      </x:c>
      <x:c r="Q23" s="154" t="str">
        <x:f>IF('Placements'!Q23="","",IFERROR(VLOOKUP(MIN('Placements'!Q23,9),'Scoring Reference'!$A$3:$B$11,2,FALSE),0))</x:f>
      </x:c>
      <x:c r="R23" s="154" t="str">
        <x:f>IF('Placements'!R23="","",IFERROR(VLOOKUP(MIN('Placements'!R23,9),'Scoring Reference'!$A$3:$B$11,2,FALSE),0))</x:f>
      </x:c>
      <x:c r="S23" s="154" t="str">
        <x:f>IF('Placements'!S23="","",IFERROR(VLOOKUP(MIN('Placements'!S23,9),'Scoring Reference'!$A$3:$B$11,2,FALSE),0))</x:f>
      </x:c>
      <x:c r="T23" s="155" t="str">
        <x:f>IF('Placements'!T23="","",IFERROR(VLOOKUP(MIN('Placements'!T23,9),'Scoring Reference'!$A$3:$B$11,2,FALSE),0))</x:f>
      </x:c>
      <x:c r="U23" s="208" t="str">
        <x:f>IF(A23="","",SUM(B23:T23))</x:f>
      </x:c>
      <x:c r="V23" s="209" t="str">
        <x:f>IF(A23="","",1+IF($U$5&gt;U23,1,0)+IF($U$6&gt;U23,1,0)+IF($U$7&gt;U23,1,0)+IF($U$8&gt;U23,1,0)+IF($U$9&gt;U23,1,0)+IF($U$10&gt;U23,1,0)+IF($U$11&gt;U23,1,0)+IF($U$12&gt;U23,1,0)+IF($U$13&gt;U23,1,0)+IF($U$14&gt;U23,1,0)+IF($U$15&gt;U23,1,0)+IF($U$16&gt;U23,1,0)+IF($U$17&gt;U23,1,0)+IF($U$18&gt;U23,1,0)+IF($U$19&gt;U23,1,0)+IF($U$20&gt;U23,1,0)+IF($U$21&gt;U23,1,0)+IF($U$22&gt;U23,1,0)+IF($U$23&gt;U23,1,0)+IF($U$24&gt;U23,1,0)+IF($U$25&gt;U23,1,0)+IF($U$26&gt;U23,1,0)+IF($U$27&gt;U23,1,0)+IF($U$28&gt;U23,1,0)+IF($U$29&gt;U23,1,0)+IF($U$30&gt;U23,1,0)+IF($U$31&gt;U23,1,0)+IF($U$32&gt;U23,1,0)+IF($U$33&gt;U23,1,0)+IF($U$34&gt;U23,1,0)+IF($U$35&gt;U23,1,0)+IF($U$36&gt;U23,1,0))</x:f>
      </x:c>
      <x:c r="W23" s="210" t="str">
        <x:f>IF(A23="","",COUNT(B23:T23))</x:f>
      </x:c>
    </x:row>
    <x:row r="24">
      <x:c r="A24" s="47" t="str">
        <x:f>IF('Placements'!A24="","",'Placements'!A24)</x:f>
      </x:c>
      <x:c r="B24" s="153" t="str">
        <x:f>IF('Placements'!B24="","",IFERROR(VLOOKUP(MIN('Placements'!B24,9),'Scoring Reference'!$A$3:$B$11,2,FALSE),0))</x:f>
      </x:c>
      <x:c r="C24" s="154" t="str">
        <x:f>IF('Placements'!C24="","",IFERROR(VLOOKUP(MIN('Placements'!C24,9),'Scoring Reference'!$A$3:$B$11,2,FALSE),0))</x:f>
      </x:c>
      <x:c r="D24" s="154" t="str">
        <x:f>IF('Placements'!D24="","",IFERROR(VLOOKUP(MIN('Placements'!D24,9),'Scoring Reference'!$A$3:$B$11,2,FALSE),0))</x:f>
      </x:c>
      <x:c r="E24" s="154" t="str">
        <x:f>IF('Placements'!E24="","",IFERROR(VLOOKUP(MIN('Placements'!E24,9),'Scoring Reference'!$A$3:$B$11,2,FALSE),0))</x:f>
      </x:c>
      <x:c r="F24" s="154" t="str">
        <x:f>IF('Placements'!F24="","",IFERROR(VLOOKUP(MIN('Placements'!F24,9),'Scoring Reference'!$A$3:$B$11,2,FALSE),0))</x:f>
      </x:c>
      <x:c r="G24" s="154" t="str">
        <x:f>IF('Placements'!G24="","",IFERROR(VLOOKUP(MIN('Placements'!G24,9),'Scoring Reference'!$A$3:$B$11,2,FALSE),0))</x:f>
      </x:c>
      <x:c r="H24" s="154" t="str">
        <x:f>IF('Placements'!H24="","",IFERROR(VLOOKUP(MIN('Placements'!H24,9),'Scoring Reference'!$A$3:$B$11,2,FALSE),0))</x:f>
      </x:c>
      <x:c r="I24" s="154" t="str">
        <x:f>IF('Placements'!I24="","",IFERROR(VLOOKUP(MIN('Placements'!I24,9),'Scoring Reference'!$A$3:$B$11,2,FALSE),0))</x:f>
      </x:c>
      <x:c r="J24" s="154" t="str">
        <x:f>IF('Placements'!J24="","",IFERROR(VLOOKUP(MIN('Placements'!J24,9),'Scoring Reference'!$A$3:$B$11,2,FALSE),0))</x:f>
      </x:c>
      <x:c r="K24" s="154" t="str">
        <x:f>IF('Placements'!K24="","",IFERROR(VLOOKUP(MIN('Placements'!K24,9),'Scoring Reference'!$A$3:$B$11,2,FALSE),0))</x:f>
      </x:c>
      <x:c r="L24" s="154" t="str">
        <x:f>IF('Placements'!L24="","",IFERROR(VLOOKUP(MIN('Placements'!L24,9),'Scoring Reference'!$A$3:$B$11,2,FALSE),0))</x:f>
      </x:c>
      <x:c r="M24" s="154" t="str">
        <x:f>IF('Placements'!M24="","",IFERROR(VLOOKUP(MIN('Placements'!M24,9),'Scoring Reference'!$A$3:$B$11,2,FALSE),0))</x:f>
      </x:c>
      <x:c r="N24" s="154" t="str">
        <x:f>IF('Placements'!N24="","",IFERROR(VLOOKUP(MIN('Placements'!N24,9),'Scoring Reference'!$A$3:$B$11,2,FALSE),0))</x:f>
      </x:c>
      <x:c r="O24" s="154" t="str">
        <x:f>IF('Placements'!O24="","",IFERROR(VLOOKUP(MIN('Placements'!O24,9),'Scoring Reference'!$A$3:$B$11,2,FALSE),0))</x:f>
      </x:c>
      <x:c r="P24" s="154" t="str">
        <x:f>IF('Placements'!P24="","",IFERROR(VLOOKUP(MIN('Placements'!P24,9),'Scoring Reference'!$A$3:$B$11,2,FALSE),0))</x:f>
      </x:c>
      <x:c r="Q24" s="154" t="str">
        <x:f>IF('Placements'!Q24="","",IFERROR(VLOOKUP(MIN('Placements'!Q24,9),'Scoring Reference'!$A$3:$B$11,2,FALSE),0))</x:f>
      </x:c>
      <x:c r="R24" s="154" t="str">
        <x:f>IF('Placements'!R24="","",IFERROR(VLOOKUP(MIN('Placements'!R24,9),'Scoring Reference'!$A$3:$B$11,2,FALSE),0))</x:f>
      </x:c>
      <x:c r="S24" s="154" t="str">
        <x:f>IF('Placements'!S24="","",IFERROR(VLOOKUP(MIN('Placements'!S24,9),'Scoring Reference'!$A$3:$B$11,2,FALSE),0))</x:f>
      </x:c>
      <x:c r="T24" s="155" t="str">
        <x:f>IF('Placements'!T24="","",IFERROR(VLOOKUP(MIN('Placements'!T24,9),'Scoring Reference'!$A$3:$B$11,2,FALSE),0))</x:f>
      </x:c>
      <x:c r="U24" s="208" t="str">
        <x:f>IF(A24="","",SUM(B24:T24))</x:f>
      </x:c>
      <x:c r="V24" s="209" t="str">
        <x:f>IF(A24="","",1+IF($U$5&gt;U24,1,0)+IF($U$6&gt;U24,1,0)+IF($U$7&gt;U24,1,0)+IF($U$8&gt;U24,1,0)+IF($U$9&gt;U24,1,0)+IF($U$10&gt;U24,1,0)+IF($U$11&gt;U24,1,0)+IF($U$12&gt;U24,1,0)+IF($U$13&gt;U24,1,0)+IF($U$14&gt;U24,1,0)+IF($U$15&gt;U24,1,0)+IF($U$16&gt;U24,1,0)+IF($U$17&gt;U24,1,0)+IF($U$18&gt;U24,1,0)+IF($U$19&gt;U24,1,0)+IF($U$20&gt;U24,1,0)+IF($U$21&gt;U24,1,0)+IF($U$22&gt;U24,1,0)+IF($U$23&gt;U24,1,0)+IF($U$24&gt;U24,1,0)+IF($U$25&gt;U24,1,0)+IF($U$26&gt;U24,1,0)+IF($U$27&gt;U24,1,0)+IF($U$28&gt;U24,1,0)+IF($U$29&gt;U24,1,0)+IF($U$30&gt;U24,1,0)+IF($U$31&gt;U24,1,0)+IF($U$32&gt;U24,1,0)+IF($U$33&gt;U24,1,0)+IF($U$34&gt;U24,1,0)+IF($U$35&gt;U24,1,0)+IF($U$36&gt;U24,1,0))</x:f>
      </x:c>
      <x:c r="W24" s="210" t="str">
        <x:f>IF(A24="","",COUNT(B24:T24))</x:f>
      </x:c>
    </x:row>
    <x:row r="25">
      <x:c r="A25" s="47" t="str">
        <x:f>IF('Placements'!A25="","",'Placements'!A25)</x:f>
      </x:c>
      <x:c r="B25" s="153" t="str">
        <x:f>IF('Placements'!B25="","",IFERROR(VLOOKUP(MIN('Placements'!B25,9),'Scoring Reference'!$A$3:$B$11,2,FALSE),0))</x:f>
      </x:c>
      <x:c r="C25" s="154" t="str">
        <x:f>IF('Placements'!C25="","",IFERROR(VLOOKUP(MIN('Placements'!C25,9),'Scoring Reference'!$A$3:$B$11,2,FALSE),0))</x:f>
      </x:c>
      <x:c r="D25" s="154" t="str">
        <x:f>IF('Placements'!D25="","",IFERROR(VLOOKUP(MIN('Placements'!D25,9),'Scoring Reference'!$A$3:$B$11,2,FALSE),0))</x:f>
      </x:c>
      <x:c r="E25" s="154" t="str">
        <x:f>IF('Placements'!E25="","",IFERROR(VLOOKUP(MIN('Placements'!E25,9),'Scoring Reference'!$A$3:$B$11,2,FALSE),0))</x:f>
      </x:c>
      <x:c r="F25" s="154" t="str">
        <x:f>IF('Placements'!F25="","",IFERROR(VLOOKUP(MIN('Placements'!F25,9),'Scoring Reference'!$A$3:$B$11,2,FALSE),0))</x:f>
      </x:c>
      <x:c r="G25" s="154" t="str">
        <x:f>IF('Placements'!G25="","",IFERROR(VLOOKUP(MIN('Placements'!G25,9),'Scoring Reference'!$A$3:$B$11,2,FALSE),0))</x:f>
      </x:c>
      <x:c r="H25" s="154" t="str">
        <x:f>IF('Placements'!H25="","",IFERROR(VLOOKUP(MIN('Placements'!H25,9),'Scoring Reference'!$A$3:$B$11,2,FALSE),0))</x:f>
      </x:c>
      <x:c r="I25" s="154" t="str">
        <x:f>IF('Placements'!I25="","",IFERROR(VLOOKUP(MIN('Placements'!I25,9),'Scoring Reference'!$A$3:$B$11,2,FALSE),0))</x:f>
      </x:c>
      <x:c r="J25" s="154" t="str">
        <x:f>IF('Placements'!J25="","",IFERROR(VLOOKUP(MIN('Placements'!J25,9),'Scoring Reference'!$A$3:$B$11,2,FALSE),0))</x:f>
      </x:c>
      <x:c r="K25" s="154" t="str">
        <x:f>IF('Placements'!K25="","",IFERROR(VLOOKUP(MIN('Placements'!K25,9),'Scoring Reference'!$A$3:$B$11,2,FALSE),0))</x:f>
      </x:c>
      <x:c r="L25" s="154" t="str">
        <x:f>IF('Placements'!L25="","",IFERROR(VLOOKUP(MIN('Placements'!L25,9),'Scoring Reference'!$A$3:$B$11,2,FALSE),0))</x:f>
      </x:c>
      <x:c r="M25" s="154" t="str">
        <x:f>IF('Placements'!M25="","",IFERROR(VLOOKUP(MIN('Placements'!M25,9),'Scoring Reference'!$A$3:$B$11,2,FALSE),0))</x:f>
      </x:c>
      <x:c r="N25" s="154" t="str">
        <x:f>IF('Placements'!N25="","",IFERROR(VLOOKUP(MIN('Placements'!N25,9),'Scoring Reference'!$A$3:$B$11,2,FALSE),0))</x:f>
      </x:c>
      <x:c r="O25" s="154" t="str">
        <x:f>IF('Placements'!O25="","",IFERROR(VLOOKUP(MIN('Placements'!O25,9),'Scoring Reference'!$A$3:$B$11,2,FALSE),0))</x:f>
      </x:c>
      <x:c r="P25" s="154" t="str">
        <x:f>IF('Placements'!P25="","",IFERROR(VLOOKUP(MIN('Placements'!P25,9),'Scoring Reference'!$A$3:$B$11,2,FALSE),0))</x:f>
      </x:c>
      <x:c r="Q25" s="154" t="str">
        <x:f>IF('Placements'!Q25="","",IFERROR(VLOOKUP(MIN('Placements'!Q25,9),'Scoring Reference'!$A$3:$B$11,2,FALSE),0))</x:f>
      </x:c>
      <x:c r="R25" s="154" t="str">
        <x:f>IF('Placements'!R25="","",IFERROR(VLOOKUP(MIN('Placements'!R25,9),'Scoring Reference'!$A$3:$B$11,2,FALSE),0))</x:f>
      </x:c>
      <x:c r="S25" s="154" t="str">
        <x:f>IF('Placements'!S25="","",IFERROR(VLOOKUP(MIN('Placements'!S25,9),'Scoring Reference'!$A$3:$B$11,2,FALSE),0))</x:f>
      </x:c>
      <x:c r="T25" s="155" t="str">
        <x:f>IF('Placements'!T25="","",IFERROR(VLOOKUP(MIN('Placements'!T25,9),'Scoring Reference'!$A$3:$B$11,2,FALSE),0))</x:f>
      </x:c>
      <x:c r="U25" s="208" t="str">
        <x:f>IF(A25="","",SUM(B25:T25))</x:f>
      </x:c>
      <x:c r="V25" s="209" t="str">
        <x:f>IF(A25="","",1+IF($U$5&gt;U25,1,0)+IF($U$6&gt;U25,1,0)+IF($U$7&gt;U25,1,0)+IF($U$8&gt;U25,1,0)+IF($U$9&gt;U25,1,0)+IF($U$10&gt;U25,1,0)+IF($U$11&gt;U25,1,0)+IF($U$12&gt;U25,1,0)+IF($U$13&gt;U25,1,0)+IF($U$14&gt;U25,1,0)+IF($U$15&gt;U25,1,0)+IF($U$16&gt;U25,1,0)+IF($U$17&gt;U25,1,0)+IF($U$18&gt;U25,1,0)+IF($U$19&gt;U25,1,0)+IF($U$20&gt;U25,1,0)+IF($U$21&gt;U25,1,0)+IF($U$22&gt;U25,1,0)+IF($U$23&gt;U25,1,0)+IF($U$24&gt;U25,1,0)+IF($U$25&gt;U25,1,0)+IF($U$26&gt;U25,1,0)+IF($U$27&gt;U25,1,0)+IF($U$28&gt;U25,1,0)+IF($U$29&gt;U25,1,0)+IF($U$30&gt;U25,1,0)+IF($U$31&gt;U25,1,0)+IF($U$32&gt;U25,1,0)+IF($U$33&gt;U25,1,0)+IF($U$34&gt;U25,1,0)+IF($U$35&gt;U25,1,0)+IF($U$36&gt;U25,1,0))</x:f>
      </x:c>
      <x:c r="W25" s="210" t="str">
        <x:f>IF(A25="","",COUNT(B25:T25))</x:f>
      </x:c>
    </x:row>
    <x:row r="26">
      <x:c r="A26" s="47" t="str">
        <x:f>IF('Placements'!A26="","",'Placements'!A26)</x:f>
      </x:c>
      <x:c r="B26" s="153" t="str">
        <x:f>IF('Placements'!B26="","",IFERROR(VLOOKUP(MIN('Placements'!B26,9),'Scoring Reference'!$A$3:$B$11,2,FALSE),0))</x:f>
      </x:c>
      <x:c r="C26" s="154" t="str">
        <x:f>IF('Placements'!C26="","",IFERROR(VLOOKUP(MIN('Placements'!C26,9),'Scoring Reference'!$A$3:$B$11,2,FALSE),0))</x:f>
      </x:c>
      <x:c r="D26" s="154" t="str">
        <x:f>IF('Placements'!D26="","",IFERROR(VLOOKUP(MIN('Placements'!D26,9),'Scoring Reference'!$A$3:$B$11,2,FALSE),0))</x:f>
      </x:c>
      <x:c r="E26" s="154" t="str">
        <x:f>IF('Placements'!E26="","",IFERROR(VLOOKUP(MIN('Placements'!E26,9),'Scoring Reference'!$A$3:$B$11,2,FALSE),0))</x:f>
      </x:c>
      <x:c r="F26" s="154" t="str">
        <x:f>IF('Placements'!F26="","",IFERROR(VLOOKUP(MIN('Placements'!F26,9),'Scoring Reference'!$A$3:$B$11,2,FALSE),0))</x:f>
      </x:c>
      <x:c r="G26" s="154" t="str">
        <x:f>IF('Placements'!G26="","",IFERROR(VLOOKUP(MIN('Placements'!G26,9),'Scoring Reference'!$A$3:$B$11,2,FALSE),0))</x:f>
      </x:c>
      <x:c r="H26" s="154" t="str">
        <x:f>IF('Placements'!H26="","",IFERROR(VLOOKUP(MIN('Placements'!H26,9),'Scoring Reference'!$A$3:$B$11,2,FALSE),0))</x:f>
      </x:c>
      <x:c r="I26" s="154" t="str">
        <x:f>IF('Placements'!I26="","",IFERROR(VLOOKUP(MIN('Placements'!I26,9),'Scoring Reference'!$A$3:$B$11,2,FALSE),0))</x:f>
      </x:c>
      <x:c r="J26" s="154" t="str">
        <x:f>IF('Placements'!J26="","",IFERROR(VLOOKUP(MIN('Placements'!J26,9),'Scoring Reference'!$A$3:$B$11,2,FALSE),0))</x:f>
      </x:c>
      <x:c r="K26" s="154" t="str">
        <x:f>IF('Placements'!K26="","",IFERROR(VLOOKUP(MIN('Placements'!K26,9),'Scoring Reference'!$A$3:$B$11,2,FALSE),0))</x:f>
      </x:c>
      <x:c r="L26" s="154" t="str">
        <x:f>IF('Placements'!L26="","",IFERROR(VLOOKUP(MIN('Placements'!L26,9),'Scoring Reference'!$A$3:$B$11,2,FALSE),0))</x:f>
      </x:c>
      <x:c r="M26" s="154" t="str">
        <x:f>IF('Placements'!M26="","",IFERROR(VLOOKUP(MIN('Placements'!M26,9),'Scoring Reference'!$A$3:$B$11,2,FALSE),0))</x:f>
      </x:c>
      <x:c r="N26" s="154" t="str">
        <x:f>IF('Placements'!N26="","",IFERROR(VLOOKUP(MIN('Placements'!N26,9),'Scoring Reference'!$A$3:$B$11,2,FALSE),0))</x:f>
      </x:c>
      <x:c r="O26" s="154" t="str">
        <x:f>IF('Placements'!O26="","",IFERROR(VLOOKUP(MIN('Placements'!O26,9),'Scoring Reference'!$A$3:$B$11,2,FALSE),0))</x:f>
      </x:c>
      <x:c r="P26" s="154" t="str">
        <x:f>IF('Placements'!P26="","",IFERROR(VLOOKUP(MIN('Placements'!P26,9),'Scoring Reference'!$A$3:$B$11,2,FALSE),0))</x:f>
      </x:c>
      <x:c r="Q26" s="154" t="str">
        <x:f>IF('Placements'!Q26="","",IFERROR(VLOOKUP(MIN('Placements'!Q26,9),'Scoring Reference'!$A$3:$B$11,2,FALSE),0))</x:f>
      </x:c>
      <x:c r="R26" s="154" t="str">
        <x:f>IF('Placements'!R26="","",IFERROR(VLOOKUP(MIN('Placements'!R26,9),'Scoring Reference'!$A$3:$B$11,2,FALSE),0))</x:f>
      </x:c>
      <x:c r="S26" s="154" t="str">
        <x:f>IF('Placements'!S26="","",IFERROR(VLOOKUP(MIN('Placements'!S26,9),'Scoring Reference'!$A$3:$B$11,2,FALSE),0))</x:f>
      </x:c>
      <x:c r="T26" s="155" t="str">
        <x:f>IF('Placements'!T26="","",IFERROR(VLOOKUP(MIN('Placements'!T26,9),'Scoring Reference'!$A$3:$B$11,2,FALSE),0))</x:f>
      </x:c>
      <x:c r="U26" s="208" t="str">
        <x:f>IF(A26="","",SUM(B26:T26))</x:f>
      </x:c>
      <x:c r="V26" s="209" t="str">
        <x:f>IF(A26="","",1+IF($U$5&gt;U26,1,0)+IF($U$6&gt;U26,1,0)+IF($U$7&gt;U26,1,0)+IF($U$8&gt;U26,1,0)+IF($U$9&gt;U26,1,0)+IF($U$10&gt;U26,1,0)+IF($U$11&gt;U26,1,0)+IF($U$12&gt;U26,1,0)+IF($U$13&gt;U26,1,0)+IF($U$14&gt;U26,1,0)+IF($U$15&gt;U26,1,0)+IF($U$16&gt;U26,1,0)+IF($U$17&gt;U26,1,0)+IF($U$18&gt;U26,1,0)+IF($U$19&gt;U26,1,0)+IF($U$20&gt;U26,1,0)+IF($U$21&gt;U26,1,0)+IF($U$22&gt;U26,1,0)+IF($U$23&gt;U26,1,0)+IF($U$24&gt;U26,1,0)+IF($U$25&gt;U26,1,0)+IF($U$26&gt;U26,1,0)+IF($U$27&gt;U26,1,0)+IF($U$28&gt;U26,1,0)+IF($U$29&gt;U26,1,0)+IF($U$30&gt;U26,1,0)+IF($U$31&gt;U26,1,0)+IF($U$32&gt;U26,1,0)+IF($U$33&gt;U26,1,0)+IF($U$34&gt;U26,1,0)+IF($U$35&gt;U26,1,0)+IF($U$36&gt;U26,1,0))</x:f>
      </x:c>
      <x:c r="W26" s="210" t="str">
        <x:f>IF(A26="","",COUNT(B26:T26))</x:f>
      </x:c>
    </x:row>
    <x:row r="27">
      <x:c r="A27" s="47" t="str">
        <x:f>IF('Placements'!A27="","",'Placements'!A27)</x:f>
      </x:c>
      <x:c r="B27" s="153" t="str">
        <x:f>IF('Placements'!B27="","",IFERROR(VLOOKUP(MIN('Placements'!B27,9),'Scoring Reference'!$A$3:$B$11,2,FALSE),0))</x:f>
      </x:c>
      <x:c r="C27" s="154" t="str">
        <x:f>IF('Placements'!C27="","",IFERROR(VLOOKUP(MIN('Placements'!C27,9),'Scoring Reference'!$A$3:$B$11,2,FALSE),0))</x:f>
      </x:c>
      <x:c r="D27" s="154" t="str">
        <x:f>IF('Placements'!D27="","",IFERROR(VLOOKUP(MIN('Placements'!D27,9),'Scoring Reference'!$A$3:$B$11,2,FALSE),0))</x:f>
      </x:c>
      <x:c r="E27" s="154" t="str">
        <x:f>IF('Placements'!E27="","",IFERROR(VLOOKUP(MIN('Placements'!E27,9),'Scoring Reference'!$A$3:$B$11,2,FALSE),0))</x:f>
      </x:c>
      <x:c r="F27" s="154" t="str">
        <x:f>IF('Placements'!F27="","",IFERROR(VLOOKUP(MIN('Placements'!F27,9),'Scoring Reference'!$A$3:$B$11,2,FALSE),0))</x:f>
      </x:c>
      <x:c r="G27" s="154" t="str">
        <x:f>IF('Placements'!G27="","",IFERROR(VLOOKUP(MIN('Placements'!G27,9),'Scoring Reference'!$A$3:$B$11,2,FALSE),0))</x:f>
      </x:c>
      <x:c r="H27" s="154" t="str">
        <x:f>IF('Placements'!H27="","",IFERROR(VLOOKUP(MIN('Placements'!H27,9),'Scoring Reference'!$A$3:$B$11,2,FALSE),0))</x:f>
      </x:c>
      <x:c r="I27" s="154" t="str">
        <x:f>IF('Placements'!I27="","",IFERROR(VLOOKUP(MIN('Placements'!I27,9),'Scoring Reference'!$A$3:$B$11,2,FALSE),0))</x:f>
      </x:c>
      <x:c r="J27" s="154" t="str">
        <x:f>IF('Placements'!J27="","",IFERROR(VLOOKUP(MIN('Placements'!J27,9),'Scoring Reference'!$A$3:$B$11,2,FALSE),0))</x:f>
      </x:c>
      <x:c r="K27" s="154" t="str">
        <x:f>IF('Placements'!K27="","",IFERROR(VLOOKUP(MIN('Placements'!K27,9),'Scoring Reference'!$A$3:$B$11,2,FALSE),0))</x:f>
      </x:c>
      <x:c r="L27" s="154" t="str">
        <x:f>IF('Placements'!L27="","",IFERROR(VLOOKUP(MIN('Placements'!L27,9),'Scoring Reference'!$A$3:$B$11,2,FALSE),0))</x:f>
      </x:c>
      <x:c r="M27" s="154" t="str">
        <x:f>IF('Placements'!M27="","",IFERROR(VLOOKUP(MIN('Placements'!M27,9),'Scoring Reference'!$A$3:$B$11,2,FALSE),0))</x:f>
      </x:c>
      <x:c r="N27" s="154" t="str">
        <x:f>IF('Placements'!N27="","",IFERROR(VLOOKUP(MIN('Placements'!N27,9),'Scoring Reference'!$A$3:$B$11,2,FALSE),0))</x:f>
      </x:c>
      <x:c r="O27" s="154" t="str">
        <x:f>IF('Placements'!O27="","",IFERROR(VLOOKUP(MIN('Placements'!O27,9),'Scoring Reference'!$A$3:$B$11,2,FALSE),0))</x:f>
      </x:c>
      <x:c r="P27" s="154" t="str">
        <x:f>IF('Placements'!P27="","",IFERROR(VLOOKUP(MIN('Placements'!P27,9),'Scoring Reference'!$A$3:$B$11,2,FALSE),0))</x:f>
      </x:c>
      <x:c r="Q27" s="154" t="str">
        <x:f>IF('Placements'!Q27="","",IFERROR(VLOOKUP(MIN('Placements'!Q27,9),'Scoring Reference'!$A$3:$B$11,2,FALSE),0))</x:f>
      </x:c>
      <x:c r="R27" s="154" t="str">
        <x:f>IF('Placements'!R27="","",IFERROR(VLOOKUP(MIN('Placements'!R27,9),'Scoring Reference'!$A$3:$B$11,2,FALSE),0))</x:f>
      </x:c>
      <x:c r="S27" s="154" t="str">
        <x:f>IF('Placements'!S27="","",IFERROR(VLOOKUP(MIN('Placements'!S27,9),'Scoring Reference'!$A$3:$B$11,2,FALSE),0))</x:f>
      </x:c>
      <x:c r="T27" s="155" t="str">
        <x:f>IF('Placements'!T27="","",IFERROR(VLOOKUP(MIN('Placements'!T27,9),'Scoring Reference'!$A$3:$B$11,2,FALSE),0))</x:f>
      </x:c>
      <x:c r="U27" s="208" t="str">
        <x:f>IF(A27="","",SUM(B27:T27))</x:f>
      </x:c>
      <x:c r="V27" s="209" t="str">
        <x:f>IF(A27="","",1+IF($U$5&gt;U27,1,0)+IF($U$6&gt;U27,1,0)+IF($U$7&gt;U27,1,0)+IF($U$8&gt;U27,1,0)+IF($U$9&gt;U27,1,0)+IF($U$10&gt;U27,1,0)+IF($U$11&gt;U27,1,0)+IF($U$12&gt;U27,1,0)+IF($U$13&gt;U27,1,0)+IF($U$14&gt;U27,1,0)+IF($U$15&gt;U27,1,0)+IF($U$16&gt;U27,1,0)+IF($U$17&gt;U27,1,0)+IF($U$18&gt;U27,1,0)+IF($U$19&gt;U27,1,0)+IF($U$20&gt;U27,1,0)+IF($U$21&gt;U27,1,0)+IF($U$22&gt;U27,1,0)+IF($U$23&gt;U27,1,0)+IF($U$24&gt;U27,1,0)+IF($U$25&gt;U27,1,0)+IF($U$26&gt;U27,1,0)+IF($U$27&gt;U27,1,0)+IF($U$28&gt;U27,1,0)+IF($U$29&gt;U27,1,0)+IF($U$30&gt;U27,1,0)+IF($U$31&gt;U27,1,0)+IF($U$32&gt;U27,1,0)+IF($U$33&gt;U27,1,0)+IF($U$34&gt;U27,1,0)+IF($U$35&gt;U27,1,0)+IF($U$36&gt;U27,1,0))</x:f>
      </x:c>
      <x:c r="W27" s="210" t="str">
        <x:f>IF(A27="","",COUNT(B27:T27))</x:f>
      </x:c>
    </x:row>
    <x:row r="28">
      <x:c r="A28" s="47" t="str">
        <x:f>IF('Placements'!A28="","",'Placements'!A28)</x:f>
      </x:c>
      <x:c r="B28" s="153" t="str">
        <x:f>IF('Placements'!B28="","",IFERROR(VLOOKUP(MIN('Placements'!B28,9),'Scoring Reference'!$A$3:$B$11,2,FALSE),0))</x:f>
      </x:c>
      <x:c r="C28" s="154" t="str">
        <x:f>IF('Placements'!C28="","",IFERROR(VLOOKUP(MIN('Placements'!C28,9),'Scoring Reference'!$A$3:$B$11,2,FALSE),0))</x:f>
      </x:c>
      <x:c r="D28" s="154" t="str">
        <x:f>IF('Placements'!D28="","",IFERROR(VLOOKUP(MIN('Placements'!D28,9),'Scoring Reference'!$A$3:$B$11,2,FALSE),0))</x:f>
      </x:c>
      <x:c r="E28" s="154" t="str">
        <x:f>IF('Placements'!E28="","",IFERROR(VLOOKUP(MIN('Placements'!E28,9),'Scoring Reference'!$A$3:$B$11,2,FALSE),0))</x:f>
      </x:c>
      <x:c r="F28" s="154" t="str">
        <x:f>IF('Placements'!F28="","",IFERROR(VLOOKUP(MIN('Placements'!F28,9),'Scoring Reference'!$A$3:$B$11,2,FALSE),0))</x:f>
      </x:c>
      <x:c r="G28" s="154" t="str">
        <x:f>IF('Placements'!G28="","",IFERROR(VLOOKUP(MIN('Placements'!G28,9),'Scoring Reference'!$A$3:$B$11,2,FALSE),0))</x:f>
      </x:c>
      <x:c r="H28" s="154" t="str">
        <x:f>IF('Placements'!H28="","",IFERROR(VLOOKUP(MIN('Placements'!H28,9),'Scoring Reference'!$A$3:$B$11,2,FALSE),0))</x:f>
      </x:c>
      <x:c r="I28" s="154" t="str">
        <x:f>IF('Placements'!I28="","",IFERROR(VLOOKUP(MIN('Placements'!I28,9),'Scoring Reference'!$A$3:$B$11,2,FALSE),0))</x:f>
      </x:c>
      <x:c r="J28" s="154" t="str">
        <x:f>IF('Placements'!J28="","",IFERROR(VLOOKUP(MIN('Placements'!J28,9),'Scoring Reference'!$A$3:$B$11,2,FALSE),0))</x:f>
      </x:c>
      <x:c r="K28" s="154" t="str">
        <x:f>IF('Placements'!K28="","",IFERROR(VLOOKUP(MIN('Placements'!K28,9),'Scoring Reference'!$A$3:$B$11,2,FALSE),0))</x:f>
      </x:c>
      <x:c r="L28" s="154" t="str">
        <x:f>IF('Placements'!L28="","",IFERROR(VLOOKUP(MIN('Placements'!L28,9),'Scoring Reference'!$A$3:$B$11,2,FALSE),0))</x:f>
      </x:c>
      <x:c r="M28" s="154" t="str">
        <x:f>IF('Placements'!M28="","",IFERROR(VLOOKUP(MIN('Placements'!M28,9),'Scoring Reference'!$A$3:$B$11,2,FALSE),0))</x:f>
      </x:c>
      <x:c r="N28" s="154" t="str">
        <x:f>IF('Placements'!N28="","",IFERROR(VLOOKUP(MIN('Placements'!N28,9),'Scoring Reference'!$A$3:$B$11,2,FALSE),0))</x:f>
      </x:c>
      <x:c r="O28" s="154" t="str">
        <x:f>IF('Placements'!O28="","",IFERROR(VLOOKUP(MIN('Placements'!O28,9),'Scoring Reference'!$A$3:$B$11,2,FALSE),0))</x:f>
      </x:c>
      <x:c r="P28" s="154" t="str">
        <x:f>IF('Placements'!P28="","",IFERROR(VLOOKUP(MIN('Placements'!P28,9),'Scoring Reference'!$A$3:$B$11,2,FALSE),0))</x:f>
      </x:c>
      <x:c r="Q28" s="154" t="str">
        <x:f>IF('Placements'!Q28="","",IFERROR(VLOOKUP(MIN('Placements'!Q28,9),'Scoring Reference'!$A$3:$B$11,2,FALSE),0))</x:f>
      </x:c>
      <x:c r="R28" s="154" t="str">
        <x:f>IF('Placements'!R28="","",IFERROR(VLOOKUP(MIN('Placements'!R28,9),'Scoring Reference'!$A$3:$B$11,2,FALSE),0))</x:f>
      </x:c>
      <x:c r="S28" s="154" t="str">
        <x:f>IF('Placements'!S28="","",IFERROR(VLOOKUP(MIN('Placements'!S28,9),'Scoring Reference'!$A$3:$B$11,2,FALSE),0))</x:f>
      </x:c>
      <x:c r="T28" s="155" t="str">
        <x:f>IF('Placements'!T28="","",IFERROR(VLOOKUP(MIN('Placements'!T28,9),'Scoring Reference'!$A$3:$B$11,2,FALSE),0))</x:f>
      </x:c>
      <x:c r="U28" s="208" t="str">
        <x:f>IF(A28="","",SUM(B28:T28))</x:f>
      </x:c>
      <x:c r="V28" s="209" t="str">
        <x:f>IF(A28="","",1+IF($U$5&gt;U28,1,0)+IF($U$6&gt;U28,1,0)+IF($U$7&gt;U28,1,0)+IF($U$8&gt;U28,1,0)+IF($U$9&gt;U28,1,0)+IF($U$10&gt;U28,1,0)+IF($U$11&gt;U28,1,0)+IF($U$12&gt;U28,1,0)+IF($U$13&gt;U28,1,0)+IF($U$14&gt;U28,1,0)+IF($U$15&gt;U28,1,0)+IF($U$16&gt;U28,1,0)+IF($U$17&gt;U28,1,0)+IF($U$18&gt;U28,1,0)+IF($U$19&gt;U28,1,0)+IF($U$20&gt;U28,1,0)+IF($U$21&gt;U28,1,0)+IF($U$22&gt;U28,1,0)+IF($U$23&gt;U28,1,0)+IF($U$24&gt;U28,1,0)+IF($U$25&gt;U28,1,0)+IF($U$26&gt;U28,1,0)+IF($U$27&gt;U28,1,0)+IF($U$28&gt;U28,1,0)+IF($U$29&gt;U28,1,0)+IF($U$30&gt;U28,1,0)+IF($U$31&gt;U28,1,0)+IF($U$32&gt;U28,1,0)+IF($U$33&gt;U28,1,0)+IF($U$34&gt;U28,1,0)+IF($U$35&gt;U28,1,0)+IF($U$36&gt;U28,1,0))</x:f>
      </x:c>
      <x:c r="W28" s="210" t="str">
        <x:f>IF(A28="","",COUNT(B28:T28))</x:f>
      </x:c>
    </x:row>
    <x:row r="29">
      <x:c r="A29" s="47" t="str">
        <x:f>IF('Placements'!A29="","",'Placements'!A29)</x:f>
      </x:c>
      <x:c r="B29" s="153" t="str">
        <x:f>IF('Placements'!B29="","",IFERROR(VLOOKUP(MIN('Placements'!B29,9),'Scoring Reference'!$A$3:$B$11,2,FALSE),0))</x:f>
      </x:c>
      <x:c r="C29" s="154" t="str">
        <x:f>IF('Placements'!C29="","",IFERROR(VLOOKUP(MIN('Placements'!C29,9),'Scoring Reference'!$A$3:$B$11,2,FALSE),0))</x:f>
      </x:c>
      <x:c r="D29" s="154" t="str">
        <x:f>IF('Placements'!D29="","",IFERROR(VLOOKUP(MIN('Placements'!D29,9),'Scoring Reference'!$A$3:$B$11,2,FALSE),0))</x:f>
      </x:c>
      <x:c r="E29" s="154" t="str">
        <x:f>IF('Placements'!E29="","",IFERROR(VLOOKUP(MIN('Placements'!E29,9),'Scoring Reference'!$A$3:$B$11,2,FALSE),0))</x:f>
      </x:c>
      <x:c r="F29" s="154" t="str">
        <x:f>IF('Placements'!F29="","",IFERROR(VLOOKUP(MIN('Placements'!F29,9),'Scoring Reference'!$A$3:$B$11,2,FALSE),0))</x:f>
      </x:c>
      <x:c r="G29" s="154" t="str">
        <x:f>IF('Placements'!G29="","",IFERROR(VLOOKUP(MIN('Placements'!G29,9),'Scoring Reference'!$A$3:$B$11,2,FALSE),0))</x:f>
      </x:c>
      <x:c r="H29" s="154" t="str">
        <x:f>IF('Placements'!H29="","",IFERROR(VLOOKUP(MIN('Placements'!H29,9),'Scoring Reference'!$A$3:$B$11,2,FALSE),0))</x:f>
      </x:c>
      <x:c r="I29" s="154" t="str">
        <x:f>IF('Placements'!I29="","",IFERROR(VLOOKUP(MIN('Placements'!I29,9),'Scoring Reference'!$A$3:$B$11,2,FALSE),0))</x:f>
      </x:c>
      <x:c r="J29" s="154" t="str">
        <x:f>IF('Placements'!J29="","",IFERROR(VLOOKUP(MIN('Placements'!J29,9),'Scoring Reference'!$A$3:$B$11,2,FALSE),0))</x:f>
      </x:c>
      <x:c r="K29" s="154" t="str">
        <x:f>IF('Placements'!K29="","",IFERROR(VLOOKUP(MIN('Placements'!K29,9),'Scoring Reference'!$A$3:$B$11,2,FALSE),0))</x:f>
      </x:c>
      <x:c r="L29" s="154" t="str">
        <x:f>IF('Placements'!L29="","",IFERROR(VLOOKUP(MIN('Placements'!L29,9),'Scoring Reference'!$A$3:$B$11,2,FALSE),0))</x:f>
      </x:c>
      <x:c r="M29" s="154" t="str">
        <x:f>IF('Placements'!M29="","",IFERROR(VLOOKUP(MIN('Placements'!M29,9),'Scoring Reference'!$A$3:$B$11,2,FALSE),0))</x:f>
      </x:c>
      <x:c r="N29" s="154" t="str">
        <x:f>IF('Placements'!N29="","",IFERROR(VLOOKUP(MIN('Placements'!N29,9),'Scoring Reference'!$A$3:$B$11,2,FALSE),0))</x:f>
      </x:c>
      <x:c r="O29" s="154" t="str">
        <x:f>IF('Placements'!O29="","",IFERROR(VLOOKUP(MIN('Placements'!O29,9),'Scoring Reference'!$A$3:$B$11,2,FALSE),0))</x:f>
      </x:c>
      <x:c r="P29" s="154" t="str">
        <x:f>IF('Placements'!P29="","",IFERROR(VLOOKUP(MIN('Placements'!P29,9),'Scoring Reference'!$A$3:$B$11,2,FALSE),0))</x:f>
      </x:c>
      <x:c r="Q29" s="154" t="str">
        <x:f>IF('Placements'!Q29="","",IFERROR(VLOOKUP(MIN('Placements'!Q29,9),'Scoring Reference'!$A$3:$B$11,2,FALSE),0))</x:f>
      </x:c>
      <x:c r="R29" s="154" t="str">
        <x:f>IF('Placements'!R29="","",IFERROR(VLOOKUP(MIN('Placements'!R29,9),'Scoring Reference'!$A$3:$B$11,2,FALSE),0))</x:f>
      </x:c>
      <x:c r="S29" s="154" t="str">
        <x:f>IF('Placements'!S29="","",IFERROR(VLOOKUP(MIN('Placements'!S29,9),'Scoring Reference'!$A$3:$B$11,2,FALSE),0))</x:f>
      </x:c>
      <x:c r="T29" s="155" t="str">
        <x:f>IF('Placements'!T29="","",IFERROR(VLOOKUP(MIN('Placements'!T29,9),'Scoring Reference'!$A$3:$B$11,2,FALSE),0))</x:f>
      </x:c>
      <x:c r="U29" s="208" t="str">
        <x:f>IF(A29="","",SUM(B29:T29))</x:f>
      </x:c>
      <x:c r="V29" s="209" t="str">
        <x:f>IF(A29="","",1+IF($U$5&gt;U29,1,0)+IF($U$6&gt;U29,1,0)+IF($U$7&gt;U29,1,0)+IF($U$8&gt;U29,1,0)+IF($U$9&gt;U29,1,0)+IF($U$10&gt;U29,1,0)+IF($U$11&gt;U29,1,0)+IF($U$12&gt;U29,1,0)+IF($U$13&gt;U29,1,0)+IF($U$14&gt;U29,1,0)+IF($U$15&gt;U29,1,0)+IF($U$16&gt;U29,1,0)+IF($U$17&gt;U29,1,0)+IF($U$18&gt;U29,1,0)+IF($U$19&gt;U29,1,0)+IF($U$20&gt;U29,1,0)+IF($U$21&gt;U29,1,0)+IF($U$22&gt;U29,1,0)+IF($U$23&gt;U29,1,0)+IF($U$24&gt;U29,1,0)+IF($U$25&gt;U29,1,0)+IF($U$26&gt;U29,1,0)+IF($U$27&gt;U29,1,0)+IF($U$28&gt;U29,1,0)+IF($U$29&gt;U29,1,0)+IF($U$30&gt;U29,1,0)+IF($U$31&gt;U29,1,0)+IF($U$32&gt;U29,1,0)+IF($U$33&gt;U29,1,0)+IF($U$34&gt;U29,1,0)+IF($U$35&gt;U29,1,0)+IF($U$36&gt;U29,1,0))</x:f>
      </x:c>
      <x:c r="W29" s="210" t="str">
        <x:f>IF(A29="","",COUNT(B29:T29))</x:f>
      </x:c>
    </x:row>
    <x:row r="30">
      <x:c r="A30" s="47" t="str">
        <x:f>IF('Placements'!A30="","",'Placements'!A30)</x:f>
      </x:c>
      <x:c r="B30" s="153" t="str">
        <x:f>IF('Placements'!B30="","",IFERROR(VLOOKUP(MIN('Placements'!B30,9),'Scoring Reference'!$A$3:$B$11,2,FALSE),0))</x:f>
      </x:c>
      <x:c r="C30" s="154" t="str">
        <x:f>IF('Placements'!C30="","",IFERROR(VLOOKUP(MIN('Placements'!C30,9),'Scoring Reference'!$A$3:$B$11,2,FALSE),0))</x:f>
      </x:c>
      <x:c r="D30" s="154" t="str">
        <x:f>IF('Placements'!D30="","",IFERROR(VLOOKUP(MIN('Placements'!D30,9),'Scoring Reference'!$A$3:$B$11,2,FALSE),0))</x:f>
      </x:c>
      <x:c r="E30" s="154" t="str">
        <x:f>IF('Placements'!E30="","",IFERROR(VLOOKUP(MIN('Placements'!E30,9),'Scoring Reference'!$A$3:$B$11,2,FALSE),0))</x:f>
      </x:c>
      <x:c r="F30" s="154" t="str">
        <x:f>IF('Placements'!F30="","",IFERROR(VLOOKUP(MIN('Placements'!F30,9),'Scoring Reference'!$A$3:$B$11,2,FALSE),0))</x:f>
      </x:c>
      <x:c r="G30" s="154" t="str">
        <x:f>IF('Placements'!G30="","",IFERROR(VLOOKUP(MIN('Placements'!G30,9),'Scoring Reference'!$A$3:$B$11,2,FALSE),0))</x:f>
      </x:c>
      <x:c r="H30" s="154" t="str">
        <x:f>IF('Placements'!H30="","",IFERROR(VLOOKUP(MIN('Placements'!H30,9),'Scoring Reference'!$A$3:$B$11,2,FALSE),0))</x:f>
      </x:c>
      <x:c r="I30" s="154" t="str">
        <x:f>IF('Placements'!I30="","",IFERROR(VLOOKUP(MIN('Placements'!I30,9),'Scoring Reference'!$A$3:$B$11,2,FALSE),0))</x:f>
      </x:c>
      <x:c r="J30" s="154" t="str">
        <x:f>IF('Placements'!J30="","",IFERROR(VLOOKUP(MIN('Placements'!J30,9),'Scoring Reference'!$A$3:$B$11,2,FALSE),0))</x:f>
      </x:c>
      <x:c r="K30" s="154" t="str">
        <x:f>IF('Placements'!K30="","",IFERROR(VLOOKUP(MIN('Placements'!K30,9),'Scoring Reference'!$A$3:$B$11,2,FALSE),0))</x:f>
      </x:c>
      <x:c r="L30" s="154" t="str">
        <x:f>IF('Placements'!L30="","",IFERROR(VLOOKUP(MIN('Placements'!L30,9),'Scoring Reference'!$A$3:$B$11,2,FALSE),0))</x:f>
      </x:c>
      <x:c r="M30" s="154" t="str">
        <x:f>IF('Placements'!M30="","",IFERROR(VLOOKUP(MIN('Placements'!M30,9),'Scoring Reference'!$A$3:$B$11,2,FALSE),0))</x:f>
      </x:c>
      <x:c r="N30" s="154" t="str">
        <x:f>IF('Placements'!N30="","",IFERROR(VLOOKUP(MIN('Placements'!N30,9),'Scoring Reference'!$A$3:$B$11,2,FALSE),0))</x:f>
      </x:c>
      <x:c r="O30" s="154" t="str">
        <x:f>IF('Placements'!O30="","",IFERROR(VLOOKUP(MIN('Placements'!O30,9),'Scoring Reference'!$A$3:$B$11,2,FALSE),0))</x:f>
      </x:c>
      <x:c r="P30" s="154" t="str">
        <x:f>IF('Placements'!P30="","",IFERROR(VLOOKUP(MIN('Placements'!P30,9),'Scoring Reference'!$A$3:$B$11,2,FALSE),0))</x:f>
      </x:c>
      <x:c r="Q30" s="154" t="str">
        <x:f>IF('Placements'!Q30="","",IFERROR(VLOOKUP(MIN('Placements'!Q30,9),'Scoring Reference'!$A$3:$B$11,2,FALSE),0))</x:f>
      </x:c>
      <x:c r="R30" s="154" t="str">
        <x:f>IF('Placements'!R30="","",IFERROR(VLOOKUP(MIN('Placements'!R30,9),'Scoring Reference'!$A$3:$B$11,2,FALSE),0))</x:f>
      </x:c>
      <x:c r="S30" s="154" t="str">
        <x:f>IF('Placements'!S30="","",IFERROR(VLOOKUP(MIN('Placements'!S30,9),'Scoring Reference'!$A$3:$B$11,2,FALSE),0))</x:f>
      </x:c>
      <x:c r="T30" s="155" t="str">
        <x:f>IF('Placements'!T30="","",IFERROR(VLOOKUP(MIN('Placements'!T30,9),'Scoring Reference'!$A$3:$B$11,2,FALSE),0))</x:f>
      </x:c>
      <x:c r="U30" s="208" t="str">
        <x:f>IF(A30="","",SUM(B30:T30))</x:f>
      </x:c>
      <x:c r="V30" s="209" t="str">
        <x:f>IF(A30="","",1+IF($U$5&gt;U30,1,0)+IF($U$6&gt;U30,1,0)+IF($U$7&gt;U30,1,0)+IF($U$8&gt;U30,1,0)+IF($U$9&gt;U30,1,0)+IF($U$10&gt;U30,1,0)+IF($U$11&gt;U30,1,0)+IF($U$12&gt;U30,1,0)+IF($U$13&gt;U30,1,0)+IF($U$14&gt;U30,1,0)+IF($U$15&gt;U30,1,0)+IF($U$16&gt;U30,1,0)+IF($U$17&gt;U30,1,0)+IF($U$18&gt;U30,1,0)+IF($U$19&gt;U30,1,0)+IF($U$20&gt;U30,1,0)+IF($U$21&gt;U30,1,0)+IF($U$22&gt;U30,1,0)+IF($U$23&gt;U30,1,0)+IF($U$24&gt;U30,1,0)+IF($U$25&gt;U30,1,0)+IF($U$26&gt;U30,1,0)+IF($U$27&gt;U30,1,0)+IF($U$28&gt;U30,1,0)+IF($U$29&gt;U30,1,0)+IF($U$30&gt;U30,1,0)+IF($U$31&gt;U30,1,0)+IF($U$32&gt;U30,1,0)+IF($U$33&gt;U30,1,0)+IF($U$34&gt;U30,1,0)+IF($U$35&gt;U30,1,0)+IF($U$36&gt;U30,1,0))</x:f>
      </x:c>
      <x:c r="W30" s="210" t="str">
        <x:f>IF(A30="","",COUNT(B30:T30))</x:f>
      </x:c>
    </x:row>
    <x:row r="31">
      <x:c r="A31" s="47" t="str">
        <x:f>IF('Placements'!A31="","",'Placements'!A31)</x:f>
      </x:c>
      <x:c r="B31" s="153" t="str">
        <x:f>IF('Placements'!B31="","",IFERROR(VLOOKUP(MIN('Placements'!B31,9),'Scoring Reference'!$A$3:$B$11,2,FALSE),0))</x:f>
      </x:c>
      <x:c r="C31" s="154" t="str">
        <x:f>IF('Placements'!C31="","",IFERROR(VLOOKUP(MIN('Placements'!C31,9),'Scoring Reference'!$A$3:$B$11,2,FALSE),0))</x:f>
      </x:c>
      <x:c r="D31" s="154" t="str">
        <x:f>IF('Placements'!D31="","",IFERROR(VLOOKUP(MIN('Placements'!D31,9),'Scoring Reference'!$A$3:$B$11,2,FALSE),0))</x:f>
      </x:c>
      <x:c r="E31" s="154" t="str">
        <x:f>IF('Placements'!E31="","",IFERROR(VLOOKUP(MIN('Placements'!E31,9),'Scoring Reference'!$A$3:$B$11,2,FALSE),0))</x:f>
      </x:c>
      <x:c r="F31" s="154" t="str">
        <x:f>IF('Placements'!F31="","",IFERROR(VLOOKUP(MIN('Placements'!F31,9),'Scoring Reference'!$A$3:$B$11,2,FALSE),0))</x:f>
      </x:c>
      <x:c r="G31" s="154" t="str">
        <x:f>IF('Placements'!G31="","",IFERROR(VLOOKUP(MIN('Placements'!G31,9),'Scoring Reference'!$A$3:$B$11,2,FALSE),0))</x:f>
      </x:c>
      <x:c r="H31" s="154" t="str">
        <x:f>IF('Placements'!H31="","",IFERROR(VLOOKUP(MIN('Placements'!H31,9),'Scoring Reference'!$A$3:$B$11,2,FALSE),0))</x:f>
      </x:c>
      <x:c r="I31" s="154" t="str">
        <x:f>IF('Placements'!I31="","",IFERROR(VLOOKUP(MIN('Placements'!I31,9),'Scoring Reference'!$A$3:$B$11,2,FALSE),0))</x:f>
      </x:c>
      <x:c r="J31" s="154" t="str">
        <x:f>IF('Placements'!J31="","",IFERROR(VLOOKUP(MIN('Placements'!J31,9),'Scoring Reference'!$A$3:$B$11,2,FALSE),0))</x:f>
      </x:c>
      <x:c r="K31" s="154" t="str">
        <x:f>IF('Placements'!K31="","",IFERROR(VLOOKUP(MIN('Placements'!K31,9),'Scoring Reference'!$A$3:$B$11,2,FALSE),0))</x:f>
      </x:c>
      <x:c r="L31" s="154" t="str">
        <x:f>IF('Placements'!L31="","",IFERROR(VLOOKUP(MIN('Placements'!L31,9),'Scoring Reference'!$A$3:$B$11,2,FALSE),0))</x:f>
      </x:c>
      <x:c r="M31" s="154" t="str">
        <x:f>IF('Placements'!M31="","",IFERROR(VLOOKUP(MIN('Placements'!M31,9),'Scoring Reference'!$A$3:$B$11,2,FALSE),0))</x:f>
      </x:c>
      <x:c r="N31" s="154" t="str">
        <x:f>IF('Placements'!N31="","",IFERROR(VLOOKUP(MIN('Placements'!N31,9),'Scoring Reference'!$A$3:$B$11,2,FALSE),0))</x:f>
      </x:c>
      <x:c r="O31" s="154" t="str">
        <x:f>IF('Placements'!O31="","",IFERROR(VLOOKUP(MIN('Placements'!O31,9),'Scoring Reference'!$A$3:$B$11,2,FALSE),0))</x:f>
      </x:c>
      <x:c r="P31" s="154" t="str">
        <x:f>IF('Placements'!P31="","",IFERROR(VLOOKUP(MIN('Placements'!P31,9),'Scoring Reference'!$A$3:$B$11,2,FALSE),0))</x:f>
      </x:c>
      <x:c r="Q31" s="154" t="str">
        <x:f>IF('Placements'!Q31="","",IFERROR(VLOOKUP(MIN('Placements'!Q31,9),'Scoring Reference'!$A$3:$B$11,2,FALSE),0))</x:f>
      </x:c>
      <x:c r="R31" s="154" t="str">
        <x:f>IF('Placements'!R31="","",IFERROR(VLOOKUP(MIN('Placements'!R31,9),'Scoring Reference'!$A$3:$B$11,2,FALSE),0))</x:f>
      </x:c>
      <x:c r="S31" s="154" t="str">
        <x:f>IF('Placements'!S31="","",IFERROR(VLOOKUP(MIN('Placements'!S31,9),'Scoring Reference'!$A$3:$B$11,2,FALSE),0))</x:f>
      </x:c>
      <x:c r="T31" s="155" t="str">
        <x:f>IF('Placements'!T31="","",IFERROR(VLOOKUP(MIN('Placements'!T31,9),'Scoring Reference'!$A$3:$B$11,2,FALSE),0))</x:f>
      </x:c>
      <x:c r="U31" s="208" t="str">
        <x:f>IF(A31="","",SUM(B31:T31))</x:f>
      </x:c>
      <x:c r="V31" s="209" t="str">
        <x:f>IF(A31="","",1+IF($U$5&gt;U31,1,0)+IF($U$6&gt;U31,1,0)+IF($U$7&gt;U31,1,0)+IF($U$8&gt;U31,1,0)+IF($U$9&gt;U31,1,0)+IF($U$10&gt;U31,1,0)+IF($U$11&gt;U31,1,0)+IF($U$12&gt;U31,1,0)+IF($U$13&gt;U31,1,0)+IF($U$14&gt;U31,1,0)+IF($U$15&gt;U31,1,0)+IF($U$16&gt;U31,1,0)+IF($U$17&gt;U31,1,0)+IF($U$18&gt;U31,1,0)+IF($U$19&gt;U31,1,0)+IF($U$20&gt;U31,1,0)+IF($U$21&gt;U31,1,0)+IF($U$22&gt;U31,1,0)+IF($U$23&gt;U31,1,0)+IF($U$24&gt;U31,1,0)+IF($U$25&gt;U31,1,0)+IF($U$26&gt;U31,1,0)+IF($U$27&gt;U31,1,0)+IF($U$28&gt;U31,1,0)+IF($U$29&gt;U31,1,0)+IF($U$30&gt;U31,1,0)+IF($U$31&gt;U31,1,0)+IF($U$32&gt;U31,1,0)+IF($U$33&gt;U31,1,0)+IF($U$34&gt;U31,1,0)+IF($U$35&gt;U31,1,0)+IF($U$36&gt;U31,1,0))</x:f>
      </x:c>
      <x:c r="W31" s="210" t="str">
        <x:f>IF(A31="","",COUNT(B31:T31))</x:f>
      </x:c>
    </x:row>
    <x:row r="32">
      <x:c r="A32" s="47" t="str">
        <x:f>IF('Placements'!A32="","",'Placements'!A32)</x:f>
      </x:c>
      <x:c r="B32" s="153" t="str">
        <x:f>IF('Placements'!B32="","",IFERROR(VLOOKUP(MIN('Placements'!B32,9),'Scoring Reference'!$A$3:$B$11,2,FALSE),0))</x:f>
      </x:c>
      <x:c r="C32" s="154" t="str">
        <x:f>IF('Placements'!C32="","",IFERROR(VLOOKUP(MIN('Placements'!C32,9),'Scoring Reference'!$A$3:$B$11,2,FALSE),0))</x:f>
      </x:c>
      <x:c r="D32" s="154" t="str">
        <x:f>IF('Placements'!D32="","",IFERROR(VLOOKUP(MIN('Placements'!D32,9),'Scoring Reference'!$A$3:$B$11,2,FALSE),0))</x:f>
      </x:c>
      <x:c r="E32" s="154" t="str">
        <x:f>IF('Placements'!E32="","",IFERROR(VLOOKUP(MIN('Placements'!E32,9),'Scoring Reference'!$A$3:$B$11,2,FALSE),0))</x:f>
      </x:c>
      <x:c r="F32" s="154" t="str">
        <x:f>IF('Placements'!F32="","",IFERROR(VLOOKUP(MIN('Placements'!F32,9),'Scoring Reference'!$A$3:$B$11,2,FALSE),0))</x:f>
      </x:c>
      <x:c r="G32" s="154" t="str">
        <x:f>IF('Placements'!G32="","",IFERROR(VLOOKUP(MIN('Placements'!G32,9),'Scoring Reference'!$A$3:$B$11,2,FALSE),0))</x:f>
      </x:c>
      <x:c r="H32" s="154" t="str">
        <x:f>IF('Placements'!H32="","",IFERROR(VLOOKUP(MIN('Placements'!H32,9),'Scoring Reference'!$A$3:$B$11,2,FALSE),0))</x:f>
      </x:c>
      <x:c r="I32" s="154" t="str">
        <x:f>IF('Placements'!I32="","",IFERROR(VLOOKUP(MIN('Placements'!I32,9),'Scoring Reference'!$A$3:$B$11,2,FALSE),0))</x:f>
      </x:c>
      <x:c r="J32" s="154" t="str">
        <x:f>IF('Placements'!J32="","",IFERROR(VLOOKUP(MIN('Placements'!J32,9),'Scoring Reference'!$A$3:$B$11,2,FALSE),0))</x:f>
      </x:c>
      <x:c r="K32" s="154" t="str">
        <x:f>IF('Placements'!K32="","",IFERROR(VLOOKUP(MIN('Placements'!K32,9),'Scoring Reference'!$A$3:$B$11,2,FALSE),0))</x:f>
      </x:c>
      <x:c r="L32" s="154" t="str">
        <x:f>IF('Placements'!L32="","",IFERROR(VLOOKUP(MIN('Placements'!L32,9),'Scoring Reference'!$A$3:$B$11,2,FALSE),0))</x:f>
      </x:c>
      <x:c r="M32" s="154" t="str">
        <x:f>IF('Placements'!M32="","",IFERROR(VLOOKUP(MIN('Placements'!M32,9),'Scoring Reference'!$A$3:$B$11,2,FALSE),0))</x:f>
      </x:c>
      <x:c r="N32" s="154" t="str">
        <x:f>IF('Placements'!N32="","",IFERROR(VLOOKUP(MIN('Placements'!N32,9),'Scoring Reference'!$A$3:$B$11,2,FALSE),0))</x:f>
      </x:c>
      <x:c r="O32" s="154" t="str">
        <x:f>IF('Placements'!O32="","",IFERROR(VLOOKUP(MIN('Placements'!O32,9),'Scoring Reference'!$A$3:$B$11,2,FALSE),0))</x:f>
      </x:c>
      <x:c r="P32" s="154" t="str">
        <x:f>IF('Placements'!P32="","",IFERROR(VLOOKUP(MIN('Placements'!P32,9),'Scoring Reference'!$A$3:$B$11,2,FALSE),0))</x:f>
      </x:c>
      <x:c r="Q32" s="154" t="str">
        <x:f>IF('Placements'!Q32="","",IFERROR(VLOOKUP(MIN('Placements'!Q32,9),'Scoring Reference'!$A$3:$B$11,2,FALSE),0))</x:f>
      </x:c>
      <x:c r="R32" s="154" t="str">
        <x:f>IF('Placements'!R32="","",IFERROR(VLOOKUP(MIN('Placements'!R32,9),'Scoring Reference'!$A$3:$B$11,2,FALSE),0))</x:f>
      </x:c>
      <x:c r="S32" s="154" t="str">
        <x:f>IF('Placements'!S32="","",IFERROR(VLOOKUP(MIN('Placements'!S32,9),'Scoring Reference'!$A$3:$B$11,2,FALSE),0))</x:f>
      </x:c>
      <x:c r="T32" s="155" t="str">
        <x:f>IF('Placements'!T32="","",IFERROR(VLOOKUP(MIN('Placements'!T32,9),'Scoring Reference'!$A$3:$B$11,2,FALSE),0))</x:f>
      </x:c>
      <x:c r="U32" s="208" t="str">
        <x:f>IF(A32="","",SUM(B32:T32))</x:f>
      </x:c>
      <x:c r="V32" s="209" t="str">
        <x:f>IF(A32="","",1+IF($U$5&gt;U32,1,0)+IF($U$6&gt;U32,1,0)+IF($U$7&gt;U32,1,0)+IF($U$8&gt;U32,1,0)+IF($U$9&gt;U32,1,0)+IF($U$10&gt;U32,1,0)+IF($U$11&gt;U32,1,0)+IF($U$12&gt;U32,1,0)+IF($U$13&gt;U32,1,0)+IF($U$14&gt;U32,1,0)+IF($U$15&gt;U32,1,0)+IF($U$16&gt;U32,1,0)+IF($U$17&gt;U32,1,0)+IF($U$18&gt;U32,1,0)+IF($U$19&gt;U32,1,0)+IF($U$20&gt;U32,1,0)+IF($U$21&gt;U32,1,0)+IF($U$22&gt;U32,1,0)+IF($U$23&gt;U32,1,0)+IF($U$24&gt;U32,1,0)+IF($U$25&gt;U32,1,0)+IF($U$26&gt;U32,1,0)+IF($U$27&gt;U32,1,0)+IF($U$28&gt;U32,1,0)+IF($U$29&gt;U32,1,0)+IF($U$30&gt;U32,1,0)+IF($U$31&gt;U32,1,0)+IF($U$32&gt;U32,1,0)+IF($U$33&gt;U32,1,0)+IF($U$34&gt;U32,1,0)+IF($U$35&gt;U32,1,0)+IF($U$36&gt;U32,1,0))</x:f>
      </x:c>
      <x:c r="W32" s="210" t="str">
        <x:f>IF(A32="","",COUNT(B32:T32))</x:f>
      </x:c>
    </x:row>
    <x:row r="33">
      <x:c r="A33" s="47" t="str">
        <x:f>IF('Placements'!A33="","",'Placements'!A33)</x:f>
      </x:c>
      <x:c r="B33" s="153" t="str">
        <x:f>IF('Placements'!B33="","",IFERROR(VLOOKUP(MIN('Placements'!B33,9),'Scoring Reference'!$A$3:$B$11,2,FALSE),0))</x:f>
      </x:c>
      <x:c r="C33" s="154" t="str">
        <x:f>IF('Placements'!C33="","",IFERROR(VLOOKUP(MIN('Placements'!C33,9),'Scoring Reference'!$A$3:$B$11,2,FALSE),0))</x:f>
      </x:c>
      <x:c r="D33" s="154" t="str">
        <x:f>IF('Placements'!D33="","",IFERROR(VLOOKUP(MIN('Placements'!D33,9),'Scoring Reference'!$A$3:$B$11,2,FALSE),0))</x:f>
      </x:c>
      <x:c r="E33" s="154" t="str">
        <x:f>IF('Placements'!E33="","",IFERROR(VLOOKUP(MIN('Placements'!E33,9),'Scoring Reference'!$A$3:$B$11,2,FALSE),0))</x:f>
      </x:c>
      <x:c r="F33" s="154" t="str">
        <x:f>IF('Placements'!F33="","",IFERROR(VLOOKUP(MIN('Placements'!F33,9),'Scoring Reference'!$A$3:$B$11,2,FALSE),0))</x:f>
      </x:c>
      <x:c r="G33" s="154" t="str">
        <x:f>IF('Placements'!G33="","",IFERROR(VLOOKUP(MIN('Placements'!G33,9),'Scoring Reference'!$A$3:$B$11,2,FALSE),0))</x:f>
      </x:c>
      <x:c r="H33" s="154" t="str">
        <x:f>IF('Placements'!H33="","",IFERROR(VLOOKUP(MIN('Placements'!H33,9),'Scoring Reference'!$A$3:$B$11,2,FALSE),0))</x:f>
      </x:c>
      <x:c r="I33" s="154" t="str">
        <x:f>IF('Placements'!I33="","",IFERROR(VLOOKUP(MIN('Placements'!I33,9),'Scoring Reference'!$A$3:$B$11,2,FALSE),0))</x:f>
      </x:c>
      <x:c r="J33" s="154" t="str">
        <x:f>IF('Placements'!J33="","",IFERROR(VLOOKUP(MIN('Placements'!J33,9),'Scoring Reference'!$A$3:$B$11,2,FALSE),0))</x:f>
      </x:c>
      <x:c r="K33" s="154" t="str">
        <x:f>IF('Placements'!K33="","",IFERROR(VLOOKUP(MIN('Placements'!K33,9),'Scoring Reference'!$A$3:$B$11,2,FALSE),0))</x:f>
      </x:c>
      <x:c r="L33" s="154" t="str">
        <x:f>IF('Placements'!L33="","",IFERROR(VLOOKUP(MIN('Placements'!L33,9),'Scoring Reference'!$A$3:$B$11,2,FALSE),0))</x:f>
      </x:c>
      <x:c r="M33" s="154" t="str">
        <x:f>IF('Placements'!M33="","",IFERROR(VLOOKUP(MIN('Placements'!M33,9),'Scoring Reference'!$A$3:$B$11,2,FALSE),0))</x:f>
      </x:c>
      <x:c r="N33" s="154" t="str">
        <x:f>IF('Placements'!N33="","",IFERROR(VLOOKUP(MIN('Placements'!N33,9),'Scoring Reference'!$A$3:$B$11,2,FALSE),0))</x:f>
      </x:c>
      <x:c r="O33" s="154" t="str">
        <x:f>IF('Placements'!O33="","",IFERROR(VLOOKUP(MIN('Placements'!O33,9),'Scoring Reference'!$A$3:$B$11,2,FALSE),0))</x:f>
      </x:c>
      <x:c r="P33" s="154" t="str">
        <x:f>IF('Placements'!P33="","",IFERROR(VLOOKUP(MIN('Placements'!P33,9),'Scoring Reference'!$A$3:$B$11,2,FALSE),0))</x:f>
      </x:c>
      <x:c r="Q33" s="154" t="str">
        <x:f>IF('Placements'!Q33="","",IFERROR(VLOOKUP(MIN('Placements'!Q33,9),'Scoring Reference'!$A$3:$B$11,2,FALSE),0))</x:f>
      </x:c>
      <x:c r="R33" s="154" t="str">
        <x:f>IF('Placements'!R33="","",IFERROR(VLOOKUP(MIN('Placements'!R33,9),'Scoring Reference'!$A$3:$B$11,2,FALSE),0))</x:f>
      </x:c>
      <x:c r="S33" s="154" t="str">
        <x:f>IF('Placements'!S33="","",IFERROR(VLOOKUP(MIN('Placements'!S33,9),'Scoring Reference'!$A$3:$B$11,2,FALSE),0))</x:f>
      </x:c>
      <x:c r="T33" s="155" t="str">
        <x:f>IF('Placements'!T33="","",IFERROR(VLOOKUP(MIN('Placements'!T33,9),'Scoring Reference'!$A$3:$B$11,2,FALSE),0))</x:f>
      </x:c>
      <x:c r="U33" s="208" t="str">
        <x:f>IF(A33="","",SUM(B33:T33))</x:f>
      </x:c>
      <x:c r="V33" s="209" t="str">
        <x:f>IF(A33="","",1+IF($U$5&gt;U33,1,0)+IF($U$6&gt;U33,1,0)+IF($U$7&gt;U33,1,0)+IF($U$8&gt;U33,1,0)+IF($U$9&gt;U33,1,0)+IF($U$10&gt;U33,1,0)+IF($U$11&gt;U33,1,0)+IF($U$12&gt;U33,1,0)+IF($U$13&gt;U33,1,0)+IF($U$14&gt;U33,1,0)+IF($U$15&gt;U33,1,0)+IF($U$16&gt;U33,1,0)+IF($U$17&gt;U33,1,0)+IF($U$18&gt;U33,1,0)+IF($U$19&gt;U33,1,0)+IF($U$20&gt;U33,1,0)+IF($U$21&gt;U33,1,0)+IF($U$22&gt;U33,1,0)+IF($U$23&gt;U33,1,0)+IF($U$24&gt;U33,1,0)+IF($U$25&gt;U33,1,0)+IF($U$26&gt;U33,1,0)+IF($U$27&gt;U33,1,0)+IF($U$28&gt;U33,1,0)+IF($U$29&gt;U33,1,0)+IF($U$30&gt;U33,1,0)+IF($U$31&gt;U33,1,0)+IF($U$32&gt;U33,1,0)+IF($U$33&gt;U33,1,0)+IF($U$34&gt;U33,1,0)+IF($U$35&gt;U33,1,0)+IF($U$36&gt;U33,1,0))</x:f>
      </x:c>
      <x:c r="W33" s="210" t="str">
        <x:f>IF(A33="","",COUNT(B33:T33))</x:f>
      </x:c>
    </x:row>
    <x:row r="34">
      <x:c r="A34" s="47" t="str">
        <x:f>IF('Placements'!A34="","",'Placements'!A34)</x:f>
      </x:c>
      <x:c r="B34" s="153" t="str">
        <x:f>IF('Placements'!B34="","",IFERROR(VLOOKUP(MIN('Placements'!B34,9),'Scoring Reference'!$A$3:$B$11,2,FALSE),0))</x:f>
      </x:c>
      <x:c r="C34" s="154" t="str">
        <x:f>IF('Placements'!C34="","",IFERROR(VLOOKUP(MIN('Placements'!C34,9),'Scoring Reference'!$A$3:$B$11,2,FALSE),0))</x:f>
      </x:c>
      <x:c r="D34" s="154" t="str">
        <x:f>IF('Placements'!D34="","",IFERROR(VLOOKUP(MIN('Placements'!D34,9),'Scoring Reference'!$A$3:$B$11,2,FALSE),0))</x:f>
      </x:c>
      <x:c r="E34" s="154" t="str">
        <x:f>IF('Placements'!E34="","",IFERROR(VLOOKUP(MIN('Placements'!E34,9),'Scoring Reference'!$A$3:$B$11,2,FALSE),0))</x:f>
      </x:c>
      <x:c r="F34" s="154" t="str">
        <x:f>IF('Placements'!F34="","",IFERROR(VLOOKUP(MIN('Placements'!F34,9),'Scoring Reference'!$A$3:$B$11,2,FALSE),0))</x:f>
      </x:c>
      <x:c r="G34" s="154" t="str">
        <x:f>IF('Placements'!G34="","",IFERROR(VLOOKUP(MIN('Placements'!G34,9),'Scoring Reference'!$A$3:$B$11,2,FALSE),0))</x:f>
      </x:c>
      <x:c r="H34" s="154" t="str">
        <x:f>IF('Placements'!H34="","",IFERROR(VLOOKUP(MIN('Placements'!H34,9),'Scoring Reference'!$A$3:$B$11,2,FALSE),0))</x:f>
      </x:c>
      <x:c r="I34" s="154" t="str">
        <x:f>IF('Placements'!I34="","",IFERROR(VLOOKUP(MIN('Placements'!I34,9),'Scoring Reference'!$A$3:$B$11,2,FALSE),0))</x:f>
      </x:c>
      <x:c r="J34" s="154" t="str">
        <x:f>IF('Placements'!J34="","",IFERROR(VLOOKUP(MIN('Placements'!J34,9),'Scoring Reference'!$A$3:$B$11,2,FALSE),0))</x:f>
      </x:c>
      <x:c r="K34" s="154" t="str">
        <x:f>IF('Placements'!K34="","",IFERROR(VLOOKUP(MIN('Placements'!K34,9),'Scoring Reference'!$A$3:$B$11,2,FALSE),0))</x:f>
      </x:c>
      <x:c r="L34" s="154" t="str">
        <x:f>IF('Placements'!L34="","",IFERROR(VLOOKUP(MIN('Placements'!L34,9),'Scoring Reference'!$A$3:$B$11,2,FALSE),0))</x:f>
      </x:c>
      <x:c r="M34" s="154" t="str">
        <x:f>IF('Placements'!M34="","",IFERROR(VLOOKUP(MIN('Placements'!M34,9),'Scoring Reference'!$A$3:$B$11,2,FALSE),0))</x:f>
      </x:c>
      <x:c r="N34" s="154" t="str">
        <x:f>IF('Placements'!N34="","",IFERROR(VLOOKUP(MIN('Placements'!N34,9),'Scoring Reference'!$A$3:$B$11,2,FALSE),0))</x:f>
      </x:c>
      <x:c r="O34" s="154" t="str">
        <x:f>IF('Placements'!O34="","",IFERROR(VLOOKUP(MIN('Placements'!O34,9),'Scoring Reference'!$A$3:$B$11,2,FALSE),0))</x:f>
      </x:c>
      <x:c r="P34" s="154" t="str">
        <x:f>IF('Placements'!P34="","",IFERROR(VLOOKUP(MIN('Placements'!P34,9),'Scoring Reference'!$A$3:$B$11,2,FALSE),0))</x:f>
      </x:c>
      <x:c r="Q34" s="154" t="str">
        <x:f>IF('Placements'!Q34="","",IFERROR(VLOOKUP(MIN('Placements'!Q34,9),'Scoring Reference'!$A$3:$B$11,2,FALSE),0))</x:f>
      </x:c>
      <x:c r="R34" s="154" t="str">
        <x:f>IF('Placements'!R34="","",IFERROR(VLOOKUP(MIN('Placements'!R34,9),'Scoring Reference'!$A$3:$B$11,2,FALSE),0))</x:f>
      </x:c>
      <x:c r="S34" s="154" t="str">
        <x:f>IF('Placements'!S34="","",IFERROR(VLOOKUP(MIN('Placements'!S34,9),'Scoring Reference'!$A$3:$B$11,2,FALSE),0))</x:f>
      </x:c>
      <x:c r="T34" s="155" t="str">
        <x:f>IF('Placements'!T34="","",IFERROR(VLOOKUP(MIN('Placements'!T34,9),'Scoring Reference'!$A$3:$B$11,2,FALSE),0))</x:f>
      </x:c>
      <x:c r="U34" s="208" t="str">
        <x:f>IF(A34="","",SUM(B34:T34))</x:f>
      </x:c>
      <x:c r="V34" s="209" t="str">
        <x:f>IF(A34="","",1+IF($U$5&gt;U34,1,0)+IF($U$6&gt;U34,1,0)+IF($U$7&gt;U34,1,0)+IF($U$8&gt;U34,1,0)+IF($U$9&gt;U34,1,0)+IF($U$10&gt;U34,1,0)+IF($U$11&gt;U34,1,0)+IF($U$12&gt;U34,1,0)+IF($U$13&gt;U34,1,0)+IF($U$14&gt;U34,1,0)+IF($U$15&gt;U34,1,0)+IF($U$16&gt;U34,1,0)+IF($U$17&gt;U34,1,0)+IF($U$18&gt;U34,1,0)+IF($U$19&gt;U34,1,0)+IF($U$20&gt;U34,1,0)+IF($U$21&gt;U34,1,0)+IF($U$22&gt;U34,1,0)+IF($U$23&gt;U34,1,0)+IF($U$24&gt;U34,1,0)+IF($U$25&gt;U34,1,0)+IF($U$26&gt;U34,1,0)+IF($U$27&gt;U34,1,0)+IF($U$28&gt;U34,1,0)+IF($U$29&gt;U34,1,0)+IF($U$30&gt;U34,1,0)+IF($U$31&gt;U34,1,0)+IF($U$32&gt;U34,1,0)+IF($U$33&gt;U34,1,0)+IF($U$34&gt;U34,1,0)+IF($U$35&gt;U34,1,0)+IF($U$36&gt;U34,1,0))</x:f>
      </x:c>
      <x:c r="W34" s="210" t="str">
        <x:f>IF(A34="","",COUNT(B34:T34))</x:f>
      </x:c>
    </x:row>
    <x:row r="35">
      <x:c r="A35" s="47" t="str">
        <x:f>IF('Placements'!A35="","",'Placements'!A35)</x:f>
      </x:c>
      <x:c r="B35" s="153" t="str">
        <x:f>IF('Placements'!B35="","",IFERROR(VLOOKUP(MIN('Placements'!B35,9),'Scoring Reference'!$A$3:$B$11,2,FALSE),0))</x:f>
      </x:c>
      <x:c r="C35" s="154" t="str">
        <x:f>IF('Placements'!C35="","",IFERROR(VLOOKUP(MIN('Placements'!C35,9),'Scoring Reference'!$A$3:$B$11,2,FALSE),0))</x:f>
      </x:c>
      <x:c r="D35" s="154" t="str">
        <x:f>IF('Placements'!D35="","",IFERROR(VLOOKUP(MIN('Placements'!D35,9),'Scoring Reference'!$A$3:$B$11,2,FALSE),0))</x:f>
      </x:c>
      <x:c r="E35" s="154" t="str">
        <x:f>IF('Placements'!E35="","",IFERROR(VLOOKUP(MIN('Placements'!E35,9),'Scoring Reference'!$A$3:$B$11,2,FALSE),0))</x:f>
      </x:c>
      <x:c r="F35" s="154" t="str">
        <x:f>IF('Placements'!F35="","",IFERROR(VLOOKUP(MIN('Placements'!F35,9),'Scoring Reference'!$A$3:$B$11,2,FALSE),0))</x:f>
      </x:c>
      <x:c r="G35" s="154" t="str">
        <x:f>IF('Placements'!G35="","",IFERROR(VLOOKUP(MIN('Placements'!G35,9),'Scoring Reference'!$A$3:$B$11,2,FALSE),0))</x:f>
      </x:c>
      <x:c r="H35" s="154" t="str">
        <x:f>IF('Placements'!H35="","",IFERROR(VLOOKUP(MIN('Placements'!H35,9),'Scoring Reference'!$A$3:$B$11,2,FALSE),0))</x:f>
      </x:c>
      <x:c r="I35" s="154" t="str">
        <x:f>IF('Placements'!I35="","",IFERROR(VLOOKUP(MIN('Placements'!I35,9),'Scoring Reference'!$A$3:$B$11,2,FALSE),0))</x:f>
      </x:c>
      <x:c r="J35" s="154" t="str">
        <x:f>IF('Placements'!J35="","",IFERROR(VLOOKUP(MIN('Placements'!J35,9),'Scoring Reference'!$A$3:$B$11,2,FALSE),0))</x:f>
      </x:c>
      <x:c r="K35" s="154" t="str">
        <x:f>IF('Placements'!K35="","",IFERROR(VLOOKUP(MIN('Placements'!K35,9),'Scoring Reference'!$A$3:$B$11,2,FALSE),0))</x:f>
      </x:c>
      <x:c r="L35" s="154" t="str">
        <x:f>IF('Placements'!L35="","",IFERROR(VLOOKUP(MIN('Placements'!L35,9),'Scoring Reference'!$A$3:$B$11,2,FALSE),0))</x:f>
      </x:c>
      <x:c r="M35" s="154" t="str">
        <x:f>IF('Placements'!M35="","",IFERROR(VLOOKUP(MIN('Placements'!M35,9),'Scoring Reference'!$A$3:$B$11,2,FALSE),0))</x:f>
      </x:c>
      <x:c r="N35" s="154" t="str">
        <x:f>IF('Placements'!N35="","",IFERROR(VLOOKUP(MIN('Placements'!N35,9),'Scoring Reference'!$A$3:$B$11,2,FALSE),0))</x:f>
      </x:c>
      <x:c r="O35" s="154" t="str">
        <x:f>IF('Placements'!O35="","",IFERROR(VLOOKUP(MIN('Placements'!O35,9),'Scoring Reference'!$A$3:$B$11,2,FALSE),0))</x:f>
      </x:c>
      <x:c r="P35" s="154" t="str">
        <x:f>IF('Placements'!P35="","",IFERROR(VLOOKUP(MIN('Placements'!P35,9),'Scoring Reference'!$A$3:$B$11,2,FALSE),0))</x:f>
      </x:c>
      <x:c r="Q35" s="154" t="str">
        <x:f>IF('Placements'!Q35="","",IFERROR(VLOOKUP(MIN('Placements'!Q35,9),'Scoring Reference'!$A$3:$B$11,2,FALSE),0))</x:f>
      </x:c>
      <x:c r="R35" s="154" t="str">
        <x:f>IF('Placements'!R35="","",IFERROR(VLOOKUP(MIN('Placements'!R35,9),'Scoring Reference'!$A$3:$B$11,2,FALSE),0))</x:f>
      </x:c>
      <x:c r="S35" s="154" t="str">
        <x:f>IF('Placements'!S35="","",IFERROR(VLOOKUP(MIN('Placements'!S35,9),'Scoring Reference'!$A$3:$B$11,2,FALSE),0))</x:f>
      </x:c>
      <x:c r="T35" s="155" t="str">
        <x:f>IF('Placements'!T35="","",IFERROR(VLOOKUP(MIN('Placements'!T35,9),'Scoring Reference'!$A$3:$B$11,2,FALSE),0))</x:f>
      </x:c>
      <x:c r="U35" s="208" t="str">
        <x:f>IF(A35="","",SUM(B35:T35))</x:f>
      </x:c>
      <x:c r="V35" s="209" t="str">
        <x:f>IF(A35="","",1+IF($U$5&gt;U35,1,0)+IF($U$6&gt;U35,1,0)+IF($U$7&gt;U35,1,0)+IF($U$8&gt;U35,1,0)+IF($U$9&gt;U35,1,0)+IF($U$10&gt;U35,1,0)+IF($U$11&gt;U35,1,0)+IF($U$12&gt;U35,1,0)+IF($U$13&gt;U35,1,0)+IF($U$14&gt;U35,1,0)+IF($U$15&gt;U35,1,0)+IF($U$16&gt;U35,1,0)+IF($U$17&gt;U35,1,0)+IF($U$18&gt;U35,1,0)+IF($U$19&gt;U35,1,0)+IF($U$20&gt;U35,1,0)+IF($U$21&gt;U35,1,0)+IF($U$22&gt;U35,1,0)+IF($U$23&gt;U35,1,0)+IF($U$24&gt;U35,1,0)+IF($U$25&gt;U35,1,0)+IF($U$26&gt;U35,1,0)+IF($U$27&gt;U35,1,0)+IF($U$28&gt;U35,1,0)+IF($U$29&gt;U35,1,0)+IF($U$30&gt;U35,1,0)+IF($U$31&gt;U35,1,0)+IF($U$32&gt;U35,1,0)+IF($U$33&gt;U35,1,0)+IF($U$34&gt;U35,1,0)+IF($U$35&gt;U35,1,0)+IF($U$36&gt;U35,1,0))</x:f>
      </x:c>
      <x:c r="W35" s="210" t="str">
        <x:f>IF(A35="","",COUNT(B35:T35))</x:f>
      </x:c>
    </x:row>
    <x:row r="36">
      <x:c r="A36" s="48" t="str">
        <x:f>IF('Placements'!A36="","",'Placements'!A36)</x:f>
      </x:c>
      <x:c r="B36" s="156" t="str">
        <x:f>IF('Placements'!B36="","",IFERROR(VLOOKUP(MIN('Placements'!B36,9),'Scoring Reference'!$A$3:$B$11,2,FALSE),0))</x:f>
      </x:c>
      <x:c r="C36" s="157" t="str">
        <x:f>IF('Placements'!C36="","",IFERROR(VLOOKUP(MIN('Placements'!C36,9),'Scoring Reference'!$A$3:$B$11,2,FALSE),0))</x:f>
      </x:c>
      <x:c r="D36" s="157" t="str">
        <x:f>IF('Placements'!D36="","",IFERROR(VLOOKUP(MIN('Placements'!D36,9),'Scoring Reference'!$A$3:$B$11,2,FALSE),0))</x:f>
      </x:c>
      <x:c r="E36" s="157" t="str">
        <x:f>IF('Placements'!E36="","",IFERROR(VLOOKUP(MIN('Placements'!E36,9),'Scoring Reference'!$A$3:$B$11,2,FALSE),0))</x:f>
      </x:c>
      <x:c r="F36" s="157" t="str">
        <x:f>IF('Placements'!F36="","",IFERROR(VLOOKUP(MIN('Placements'!F36,9),'Scoring Reference'!$A$3:$B$11,2,FALSE),0))</x:f>
      </x:c>
      <x:c r="G36" s="157" t="str">
        <x:f>IF('Placements'!G36="","",IFERROR(VLOOKUP(MIN('Placements'!G36,9),'Scoring Reference'!$A$3:$B$11,2,FALSE),0))</x:f>
      </x:c>
      <x:c r="H36" s="157" t="str">
        <x:f>IF('Placements'!H36="","",IFERROR(VLOOKUP(MIN('Placements'!H36,9),'Scoring Reference'!$A$3:$B$11,2,FALSE),0))</x:f>
      </x:c>
      <x:c r="I36" s="157" t="str">
        <x:f>IF('Placements'!I36="","",IFERROR(VLOOKUP(MIN('Placements'!I36,9),'Scoring Reference'!$A$3:$B$11,2,FALSE),0))</x:f>
      </x:c>
      <x:c r="J36" s="157" t="str">
        <x:f>IF('Placements'!J36="","",IFERROR(VLOOKUP(MIN('Placements'!J36,9),'Scoring Reference'!$A$3:$B$11,2,FALSE),0))</x:f>
      </x:c>
      <x:c r="K36" s="157" t="str">
        <x:f>IF('Placements'!K36="","",IFERROR(VLOOKUP(MIN('Placements'!K36,9),'Scoring Reference'!$A$3:$B$11,2,FALSE),0))</x:f>
      </x:c>
      <x:c r="L36" s="157" t="str">
        <x:f>IF('Placements'!L36="","",IFERROR(VLOOKUP(MIN('Placements'!L36,9),'Scoring Reference'!$A$3:$B$11,2,FALSE),0))</x:f>
      </x:c>
      <x:c r="M36" s="157" t="str">
        <x:f>IF('Placements'!M36="","",IFERROR(VLOOKUP(MIN('Placements'!M36,9),'Scoring Reference'!$A$3:$B$11,2,FALSE),0))</x:f>
      </x:c>
      <x:c r="N36" s="157" t="str">
        <x:f>IF('Placements'!N36="","",IFERROR(VLOOKUP(MIN('Placements'!N36,9),'Scoring Reference'!$A$3:$B$11,2,FALSE),0))</x:f>
      </x:c>
      <x:c r="O36" s="157" t="str">
        <x:f>IF('Placements'!O36="","",IFERROR(VLOOKUP(MIN('Placements'!O36,9),'Scoring Reference'!$A$3:$B$11,2,FALSE),0))</x:f>
      </x:c>
      <x:c r="P36" s="157" t="str">
        <x:f>IF('Placements'!P36="","",IFERROR(VLOOKUP(MIN('Placements'!P36,9),'Scoring Reference'!$A$3:$B$11,2,FALSE),0))</x:f>
      </x:c>
      <x:c r="Q36" s="157" t="str">
        <x:f>IF('Placements'!Q36="","",IFERROR(VLOOKUP(MIN('Placements'!Q36,9),'Scoring Reference'!$A$3:$B$11,2,FALSE),0))</x:f>
      </x:c>
      <x:c r="R36" s="157" t="str">
        <x:f>IF('Placements'!R36="","",IFERROR(VLOOKUP(MIN('Placements'!R36,9),'Scoring Reference'!$A$3:$B$11,2,FALSE),0))</x:f>
      </x:c>
      <x:c r="S36" s="157" t="str">
        <x:f>IF('Placements'!S36="","",IFERROR(VLOOKUP(MIN('Placements'!S36,9),'Scoring Reference'!$A$3:$B$11,2,FALSE),0))</x:f>
      </x:c>
      <x:c r="T36" s="158" t="str">
        <x:f>IF('Placements'!T36="","",IFERROR(VLOOKUP(MIN('Placements'!T36,9),'Scoring Reference'!$A$3:$B$11,2,FALSE),0))</x:f>
      </x:c>
      <x:c r="U36" s="211" t="str">
        <x:f>IF(A36="","",SUM(B36:T36))</x:f>
      </x:c>
      <x:c r="V36" s="212" t="str">
        <x:f>IF(A36="","",1+IF($U$5&gt;U36,1,0)+IF($U$6&gt;U36,1,0)+IF($U$7&gt;U36,1,0)+IF($U$8&gt;U36,1,0)+IF($U$9&gt;U36,1,0)+IF($U$10&gt;U36,1,0)+IF($U$11&gt;U36,1,0)+IF($U$12&gt;U36,1,0)+IF($U$13&gt;U36,1,0)+IF($U$14&gt;U36,1,0)+IF($U$15&gt;U36,1,0)+IF($U$16&gt;U36,1,0)+IF($U$17&gt;U36,1,0)+IF($U$18&gt;U36,1,0)+IF($U$19&gt;U36,1,0)+IF($U$20&gt;U36,1,0)+IF($U$21&gt;U36,1,0)+IF($U$22&gt;U36,1,0)+IF($U$23&gt;U36,1,0)+IF($U$24&gt;U36,1,0)+IF($U$25&gt;U36,1,0)+IF($U$26&gt;U36,1,0)+IF($U$27&gt;U36,1,0)+IF($U$28&gt;U36,1,0)+IF($U$29&gt;U36,1,0)+IF($U$30&gt;U36,1,0)+IF($U$31&gt;U36,1,0)+IF($U$32&gt;U36,1,0)+IF($U$33&gt;U36,1,0)+IF($U$34&gt;U36,1,0)+IF($U$35&gt;U36,1,0)+IF($U$36&gt;U36,1,0))</x:f>
      </x:c>
      <x:c r="W36" s="213" t="str">
        <x:f>IF(A36="","",COUNT(B36:T36))</x:f>
      </x:c>
    </x:row>
  </x:sheetData>
  <x:mergeCells>
    <x:mergeCell ref="A1:W1"/>
    <x:mergeCell ref="A2:W2"/>
  </x:mergeCells>
  <x:conditionalFormatting sqref="U5:U3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{204B156B-4D34-0434-2F74-9BDC94070BE2}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4B156B-4D34-0434-2F74-9BDC94070BE2}">
            <x14:dataBar gradient="1">
              <x14:cfvo type="min"/>
              <x14:cfvo type="max"/>
              <x14:fillColor rgb="FF5B9BD5"/>
            </x14:dataBar>
          </x14:cfRule>
          <xm:sqref>U5:U36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0" hidden="0" customWidth="1"/>
  </x:cols>
  <x:sheetData>
    <x:row r="1">
      <x:c r="A1" s="243" t="str">
        <x:v>Scoring Reference</x:v>
      </x:c>
      <x:c r="B1" s="243"/>
      <x:c r="C1" s="243"/>
    </x:row>
    <x:row r="2">
      <x:c r="A2" s="250" t="str">
        <x:v>Placement</x:v>
      </x:c>
      <x:c r="B2" s="251" t="str">
        <x:v>Points</x:v>
      </x:c>
      <x:c r="C2" s="252" t="str">
        <x:v>Rule</x:v>
      </x:c>
    </x:row>
    <x:row r="3">
      <x:c r="A3" s="295" t="n">
        <x:v>1</x:v>
      </x:c>
      <x:c r="B3" s="296" t="n">
        <x:v>100</x:v>
      </x:c>
      <x:c r="C3" s="271" t="str">
        <x:v>Exact placement</x:v>
      </x:c>
    </x:row>
    <x:row r="4">
      <x:c r="A4" s="297" t="n">
        <x:v>2</x:v>
      </x:c>
      <x:c r="B4" s="298" t="n">
        <x:v>85</x:v>
      </x:c>
      <x:c r="C4" s="274" t="str">
        <x:v>Exact placement</x:v>
      </x:c>
    </x:row>
    <x:row r="5">
      <x:c r="A5" s="297" t="n">
        <x:v>3</x:v>
      </x:c>
      <x:c r="B5" s="298" t="n">
        <x:v>75</x:v>
      </x:c>
      <x:c r="C5" s="274" t="str">
        <x:v>Exact placement</x:v>
      </x:c>
    </x:row>
    <x:row r="6">
      <x:c r="A6" s="297" t="n">
        <x:v>4</x:v>
      </x:c>
      <x:c r="B6" s="298" t="n">
        <x:v>60</x:v>
      </x:c>
      <x:c r="C6" s="274" t="str">
        <x:v>Exact placement</x:v>
      </x:c>
    </x:row>
    <x:row r="7">
      <x:c r="A7" s="297" t="n">
        <x:v>5</x:v>
      </x:c>
      <x:c r="B7" s="298" t="n">
        <x:v>50</x:v>
      </x:c>
      <x:c r="C7" s="274" t="str">
        <x:v>Exact placement</x:v>
      </x:c>
    </x:row>
    <x:row r="8">
      <x:c r="A8" s="297" t="n">
        <x:v>6</x:v>
      </x:c>
      <x:c r="B8" s="298" t="n">
        <x:v>45</x:v>
      </x:c>
      <x:c r="C8" s="274" t="str">
        <x:v>Exact placement</x:v>
      </x:c>
    </x:row>
    <x:row r="9">
      <x:c r="A9" s="297" t="n">
        <x:v>7</x:v>
      </x:c>
      <x:c r="B9" s="298" t="n">
        <x:v>40</x:v>
      </x:c>
      <x:c r="C9" s="274" t="str">
        <x:v>Exact placement</x:v>
      </x:c>
    </x:row>
    <x:row r="10">
      <x:c r="A10" s="297" t="n">
        <x:v>8</x:v>
      </x:c>
      <x:c r="B10" s="298" t="n">
        <x:v>35</x:v>
      </x:c>
      <x:c r="C10" s="274" t="str">
        <x:v>Exact placement</x:v>
      </x:c>
    </x:row>
    <x:row r="11">
      <x:c r="A11" s="299" t="n">
        <x:v>9</x:v>
      </x:c>
      <x:c r="B11" s="300" t="n">
        <x:v>30</x:v>
      </x:c>
      <x:c r="C11" s="277" t="str">
        <x:v>9th or any later completed placement</x:v>
      </x:c>
    </x:row>
    <x:row r="13">
      <x:c r="A13" s="314" t="str">
        <x:v>DNF / no credited finish</x:v>
      </x:c>
      <x:c r="B13" s="315" t="n">
        <x:v>0</x:v>
      </x:c>
      <x:c r="C13" s="316" t="str">
        <x:v>Represented by a blank placement cell on the Placements sheet.</x:v>
      </x:c>
    </x:row>
    <x:row r="14">
      <x:c r="A14" s="317" t="str">
        <x:v>Input convention</x:v>
      </x:c>
      <x:c r="B14" s="318"/>
      <x:c r="C14" s="319" t="str">
        <x:v>Enter only positive whole-number placements; do not type 'DNF'.</x:v>
      </x:c>
    </x:row>
  </x:sheetData>
  <x:mergeCells>
    <x:mergeCell ref="A1:C1"/>
  </x:mergeCells>
  <x:pageMargins left="0.7" right="0.7" top="0.75" bottom="0.75" header="0.3" footer="0.3"/>
</x:worksheet>
</file>